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activeX/activeX1.xml" ContentType="application/vnd.ms-office.activeX+xml"/>
  <Override PartName="/xl/activeX/activeX1.bin" ContentType="application/vnd.ms-office.activeX"/>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E:\Fiiit\Excel_practice\"/>
    </mc:Choice>
  </mc:AlternateContent>
  <xr:revisionPtr revIDLastSave="0" documentId="13_ncr:1_{6FC02C69-F425-47B3-A60A-779ED322FC5D}" xr6:coauthVersionLast="47" xr6:coauthVersionMax="47" xr10:uidLastSave="{00000000-0000-0000-0000-000000000000}"/>
  <bookViews>
    <workbookView xWindow="-108" yWindow="-108" windowWidth="23256" windowHeight="12456" activeTab="5" xr2:uid="{9582A52E-1B81-4984-BBE7-A03F4D74D0D3}"/>
  </bookViews>
  <sheets>
    <sheet name="Task 1" sheetId="1" r:id="rId1"/>
    <sheet name="Pivot table" sheetId="5" r:id="rId2"/>
    <sheet name="pivot chart" sheetId="6" r:id="rId3"/>
    <sheet name="Task 3" sheetId="4" r:id="rId4"/>
    <sheet name="Sheet1" sheetId="3" r:id="rId5"/>
    <sheet name="Attendance" sheetId="7" r:id="rId6"/>
    <sheet name="utils" sheetId="8" r:id="rId7"/>
  </sheets>
  <definedNames>
    <definedName name="months">utils!$D$2:$D$13</definedName>
    <definedName name="no_of_holidays">Holidays[Holiday]</definedName>
    <definedName name="no_of_years">Year[Years]</definedName>
    <definedName name="Slicer_CustomerType">#N/A</definedName>
    <definedName name="Slicer_PaymentMethod">#N/A</definedName>
    <definedName name="Slicer_Product">#N/A</definedName>
    <definedName name="Slicer_Region">#N/A</definedName>
    <definedName name="Slicer_Salesperson">#N/A</definedName>
    <definedName name="Slicer_StoreLocat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J8" i="7" l="1"/>
  <c r="AJ9" i="7"/>
  <c r="AJ10" i="7"/>
  <c r="AJ11" i="7"/>
  <c r="AJ12" i="7"/>
  <c r="AJ13" i="7"/>
  <c r="AJ14" i="7"/>
  <c r="AJ15" i="7"/>
  <c r="AJ16" i="7"/>
  <c r="AJ17" i="7"/>
  <c r="AJ18" i="7"/>
  <c r="AJ19" i="7"/>
  <c r="AJ20" i="7"/>
  <c r="AJ21" i="7"/>
  <c r="AJ22" i="7"/>
  <c r="AJ23" i="7"/>
  <c r="AJ24" i="7"/>
  <c r="AJ25" i="7"/>
  <c r="AJ26" i="7"/>
  <c r="AJ27" i="7"/>
  <c r="AJ28" i="7"/>
  <c r="AJ29" i="7"/>
  <c r="AJ7" i="7"/>
  <c r="AI8" i="7"/>
  <c r="AI9" i="7"/>
  <c r="AI10" i="7"/>
  <c r="AI11" i="7"/>
  <c r="AI12" i="7"/>
  <c r="AI13" i="7"/>
  <c r="AI14" i="7"/>
  <c r="AI15" i="7"/>
  <c r="AI16" i="7"/>
  <c r="AI17" i="7"/>
  <c r="AI18" i="7"/>
  <c r="AI19" i="7"/>
  <c r="AI20" i="7"/>
  <c r="AI21" i="7"/>
  <c r="AI22" i="7"/>
  <c r="AI23" i="7"/>
  <c r="AI24" i="7"/>
  <c r="AI25" i="7"/>
  <c r="AI26" i="7"/>
  <c r="AI27" i="7"/>
  <c r="AI28" i="7"/>
  <c r="AI29" i="7"/>
  <c r="AI7" i="7"/>
  <c r="AH8" i="7"/>
  <c r="AH9" i="7"/>
  <c r="AH10" i="7"/>
  <c r="AH11" i="7"/>
  <c r="AH12" i="7"/>
  <c r="AH13" i="7"/>
  <c r="AH14" i="7"/>
  <c r="AH15" i="7"/>
  <c r="AH16" i="7"/>
  <c r="AH17" i="7"/>
  <c r="AH18" i="7"/>
  <c r="AH19" i="7"/>
  <c r="AH20" i="7"/>
  <c r="AH21" i="7"/>
  <c r="AH22" i="7"/>
  <c r="AH23" i="7"/>
  <c r="AH24" i="7"/>
  <c r="AH25" i="7"/>
  <c r="AH26" i="7"/>
  <c r="AH27" i="7"/>
  <c r="AH28" i="7"/>
  <c r="AH29" i="7"/>
  <c r="AH7" i="7"/>
  <c r="B8" i="7"/>
  <c r="B9" i="7"/>
  <c r="B10" i="7"/>
  <c r="B11" i="7"/>
  <c r="B12" i="7"/>
  <c r="B13" i="7"/>
  <c r="B14" i="7"/>
  <c r="B15" i="7"/>
  <c r="B16" i="7"/>
  <c r="B17" i="7"/>
  <c r="B18" i="7"/>
  <c r="B19" i="7"/>
  <c r="B20" i="7"/>
  <c r="B21" i="7"/>
  <c r="B22" i="7"/>
  <c r="B23" i="7"/>
  <c r="B24" i="7"/>
  <c r="B25" i="7"/>
  <c r="B26" i="7"/>
  <c r="B27" i="7"/>
  <c r="B28" i="7"/>
  <c r="B29" i="7"/>
  <c r="B7" i="7"/>
  <c r="C5" i="7"/>
  <c r="D5" i="7" s="1"/>
  <c r="E5" i="7" s="1"/>
  <c r="F5" i="7" s="1"/>
  <c r="G5" i="7" s="1"/>
  <c r="H5" i="7" s="1"/>
  <c r="I5" i="7" s="1"/>
  <c r="J5" i="7" s="1"/>
  <c r="K5" i="7" s="1"/>
  <c r="L5" i="7" s="1"/>
  <c r="M5" i="7" s="1"/>
  <c r="N5" i="7" s="1"/>
  <c r="O5" i="7" s="1"/>
  <c r="P5" i="7" s="1"/>
  <c r="Q5" i="7" s="1"/>
  <c r="R5" i="7" s="1"/>
  <c r="S5" i="7" s="1"/>
  <c r="T5" i="7" s="1"/>
  <c r="U5" i="7" s="1"/>
  <c r="V5" i="7" s="1"/>
  <c r="W5" i="7" s="1"/>
  <c r="X5" i="7" s="1"/>
  <c r="Y5" i="7" s="1"/>
  <c r="Z5" i="7" s="1"/>
  <c r="AA5" i="7" s="1"/>
  <c r="AB5" i="7" s="1"/>
  <c r="AC5" i="7" s="1"/>
  <c r="AD5" i="7" s="1"/>
  <c r="AE5" i="7" s="1"/>
  <c r="AF5" i="7" s="1"/>
  <c r="AG5" i="7" s="1"/>
  <c r="G107" i="4" a="1"/>
  <c r="G107" i="4" s="1"/>
  <c r="G106" i="4" a="1"/>
  <c r="G106" i="4" s="1"/>
  <c r="H91" i="4"/>
  <c r="H92" i="4"/>
  <c r="H90" i="4"/>
  <c r="G90" i="4"/>
  <c r="F90" i="4"/>
  <c r="E91" i="4"/>
  <c r="E92" i="4"/>
  <c r="E90" i="4"/>
  <c r="D90" i="4"/>
  <c r="B91" i="4"/>
  <c r="B92" i="4"/>
  <c r="B90" i="4"/>
  <c r="C72" i="4"/>
  <c r="B73" i="4"/>
  <c r="F71" i="4"/>
  <c r="G71" i="4"/>
  <c r="F72" i="4"/>
  <c r="I72" i="4" s="1"/>
  <c r="G72" i="4"/>
  <c r="F73" i="4"/>
  <c r="G73" i="4"/>
  <c r="J73" i="4" s="1"/>
  <c r="F74" i="4"/>
  <c r="G74" i="4"/>
  <c r="F75" i="4"/>
  <c r="G75" i="4"/>
  <c r="J75" i="4" s="1"/>
  <c r="E71" i="4"/>
  <c r="E72" i="4"/>
  <c r="E73" i="4"/>
  <c r="E74" i="4"/>
  <c r="E75" i="4"/>
  <c r="A83" i="4"/>
  <c r="E83" i="4" s="1"/>
  <c r="N3" i="4"/>
  <c r="N4" i="4"/>
  <c r="B74" i="4" s="1"/>
  <c r="N5" i="4"/>
  <c r="N6" i="4"/>
  <c r="D74" i="4" s="1"/>
  <c r="N7" i="4"/>
  <c r="N8" i="4"/>
  <c r="N9" i="4"/>
  <c r="N10" i="4"/>
  <c r="N11" i="4"/>
  <c r="N12" i="4"/>
  <c r="N13" i="4"/>
  <c r="N14" i="4"/>
  <c r="N15" i="4"/>
  <c r="D75" i="4" s="1"/>
  <c r="N16" i="4"/>
  <c r="N17" i="4"/>
  <c r="N18" i="4"/>
  <c r="N19" i="4"/>
  <c r="N20" i="4"/>
  <c r="N21" i="4"/>
  <c r="N22" i="4"/>
  <c r="N23" i="4"/>
  <c r="C73" i="4" s="1"/>
  <c r="N24" i="4"/>
  <c r="C91" i="4" s="1"/>
  <c r="N25" i="4"/>
  <c r="N26" i="4"/>
  <c r="N27" i="4"/>
  <c r="N28" i="4"/>
  <c r="N29" i="4"/>
  <c r="N30" i="4"/>
  <c r="D92" i="4" s="1"/>
  <c r="N31" i="4"/>
  <c r="C75" i="4" s="1"/>
  <c r="N32" i="4"/>
  <c r="N33" i="4"/>
  <c r="N34" i="4"/>
  <c r="N35" i="4"/>
  <c r="N36" i="4"/>
  <c r="N37" i="4"/>
  <c r="N38" i="4"/>
  <c r="N39" i="4"/>
  <c r="N40" i="4"/>
  <c r="N41" i="4"/>
  <c r="C90" i="4" s="1"/>
  <c r="N42" i="4"/>
  <c r="B72" i="4" s="1"/>
  <c r="N43" i="4"/>
  <c r="J91" i="4" s="1"/>
  <c r="N44" i="4"/>
  <c r="N45" i="4"/>
  <c r="N46" i="4"/>
  <c r="N47" i="4"/>
  <c r="B75" i="4" s="1"/>
  <c r="N48" i="4"/>
  <c r="N49" i="4"/>
  <c r="N50" i="4"/>
  <c r="N2" i="4"/>
  <c r="E70" i="3"/>
  <c r="F70" i="3"/>
  <c r="G70" i="3"/>
  <c r="H70" i="3"/>
  <c r="E71" i="3"/>
  <c r="F71" i="3"/>
  <c r="G71" i="3"/>
  <c r="H71" i="3"/>
  <c r="E72" i="3"/>
  <c r="F72" i="3"/>
  <c r="G72" i="3"/>
  <c r="H72" i="3"/>
  <c r="F69" i="3"/>
  <c r="G69" i="3"/>
  <c r="H69" i="3"/>
  <c r="E69" i="3"/>
  <c r="F60" i="3"/>
  <c r="F61" i="3"/>
  <c r="F59" i="3"/>
  <c r="G45" i="3"/>
  <c r="G46" i="3"/>
  <c r="G47" i="3"/>
  <c r="G48" i="3"/>
  <c r="G49" i="3"/>
  <c r="G50" i="3"/>
  <c r="G51" i="3"/>
  <c r="G52" i="3"/>
  <c r="G53" i="3"/>
  <c r="G44" i="3"/>
  <c r="E27" i="3"/>
  <c r="F27" i="3"/>
  <c r="G27" i="3"/>
  <c r="H27" i="3"/>
  <c r="I27" i="3"/>
  <c r="J27" i="3"/>
  <c r="D27" i="3"/>
  <c r="E26" i="3"/>
  <c r="F26" i="3"/>
  <c r="G26" i="3"/>
  <c r="H26" i="3"/>
  <c r="I26" i="3"/>
  <c r="J26" i="3"/>
  <c r="D26" i="3"/>
  <c r="E19" i="3"/>
  <c r="E20" i="3"/>
  <c r="E18" i="3"/>
  <c r="F6" i="3"/>
  <c r="F7" i="3"/>
  <c r="F8" i="3"/>
  <c r="F9" i="3"/>
  <c r="F10" i="3"/>
  <c r="F11" i="3"/>
  <c r="F12" i="3"/>
  <c r="F13" i="3"/>
  <c r="F14" i="3"/>
  <c r="F5" i="3"/>
  <c r="L4" i="1"/>
  <c r="L5" i="1"/>
  <c r="L6" i="1"/>
  <c r="L7" i="1"/>
  <c r="L8" i="1"/>
  <c r="K5" i="1"/>
  <c r="K6" i="1"/>
  <c r="K7" i="1"/>
  <c r="K8" i="1"/>
  <c r="K4" i="1"/>
  <c r="I5" i="1"/>
  <c r="I6" i="1"/>
  <c r="I7" i="1"/>
  <c r="I8" i="1"/>
  <c r="J5" i="1"/>
  <c r="J6" i="1"/>
  <c r="J7" i="1"/>
  <c r="J8" i="1"/>
  <c r="I4" i="1"/>
  <c r="J4" i="1" s="1"/>
  <c r="H5" i="1"/>
  <c r="H6" i="1"/>
  <c r="H7" i="1"/>
  <c r="H8" i="1"/>
  <c r="H4" i="1"/>
  <c r="AG6" i="7" l="1"/>
  <c r="C6" i="7"/>
  <c r="D73" i="4"/>
  <c r="D91" i="4"/>
  <c r="G92" i="4"/>
  <c r="C74" i="4"/>
  <c r="G91" i="4"/>
  <c r="D71" i="4"/>
  <c r="C71" i="4"/>
  <c r="B71" i="4"/>
  <c r="C84" i="4"/>
  <c r="C92" i="4"/>
  <c r="C82" i="4"/>
  <c r="F92" i="4"/>
  <c r="I90" i="4"/>
  <c r="I92" i="4"/>
  <c r="F91" i="4"/>
  <c r="I91" i="4"/>
  <c r="J90" i="4"/>
  <c r="J92" i="4"/>
  <c r="C85" i="4"/>
  <c r="D72" i="4"/>
  <c r="I71" i="4"/>
  <c r="C83" i="4"/>
  <c r="J71" i="4"/>
  <c r="G77" i="4"/>
  <c r="H71" i="4"/>
  <c r="C81" i="4"/>
  <c r="F77" i="4"/>
  <c r="J74" i="4"/>
  <c r="I73" i="4"/>
  <c r="I75" i="4"/>
  <c r="I74" i="4"/>
  <c r="J72" i="4"/>
  <c r="J77" i="4" s="1"/>
  <c r="H72" i="4"/>
  <c r="E77" i="4"/>
  <c r="H75" i="4"/>
  <c r="H74" i="4"/>
  <c r="H73" i="4"/>
  <c r="B84" i="4"/>
  <c r="B83" i="4"/>
  <c r="A81" i="4"/>
  <c r="E81" i="4" s="1"/>
  <c r="A84" i="4"/>
  <c r="E84" i="4" s="1"/>
  <c r="B81" i="4"/>
  <c r="B82" i="4"/>
  <c r="B85" i="4"/>
  <c r="A82" i="4"/>
  <c r="E82" i="4" s="1"/>
  <c r="A85" i="4"/>
  <c r="E85" i="4" s="1"/>
  <c r="D6" i="7" l="1"/>
  <c r="M6" i="7"/>
  <c r="O6" i="7"/>
  <c r="Q6" i="7"/>
  <c r="E6" i="7"/>
  <c r="U6" i="7"/>
  <c r="W6" i="7"/>
  <c r="Y6" i="7"/>
  <c r="AC6" i="7"/>
  <c r="AE6" i="7"/>
  <c r="J6" i="7"/>
  <c r="F6" i="7"/>
  <c r="H6" i="7"/>
  <c r="R6" i="7"/>
  <c r="N6" i="7"/>
  <c r="P6" i="7"/>
  <c r="Z6" i="7"/>
  <c r="L6" i="7"/>
  <c r="V6" i="7"/>
  <c r="X6" i="7"/>
  <c r="K6" i="7"/>
  <c r="T6" i="7"/>
  <c r="AD6" i="7"/>
  <c r="AF6" i="7"/>
  <c r="S6" i="7"/>
  <c r="AB6" i="7"/>
  <c r="G6" i="7"/>
  <c r="I6" i="7"/>
  <c r="AA6" i="7"/>
  <c r="H77" i="4"/>
  <c r="I77"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<sst xmlns="http://schemas.openxmlformats.org/spreadsheetml/2006/main" count="474" uniqueCount="126">
  <si>
    <t>S.No</t>
  </si>
  <si>
    <t>SUBJECT</t>
  </si>
  <si>
    <t>NAME</t>
  </si>
  <si>
    <t>TAMIL</t>
  </si>
  <si>
    <t>ENGLISH</t>
  </si>
  <si>
    <t>MATHS</t>
  </si>
  <si>
    <t>SCIENCE</t>
  </si>
  <si>
    <t>SOCIAL</t>
  </si>
  <si>
    <t>TOTAL</t>
  </si>
  <si>
    <t>AVERAGE</t>
  </si>
  <si>
    <t>GRADE</t>
  </si>
  <si>
    <t>RANK</t>
  </si>
  <si>
    <t>RESULT</t>
  </si>
  <si>
    <t>Ganesh</t>
  </si>
  <si>
    <t>Naren</t>
  </si>
  <si>
    <t>Giri</t>
  </si>
  <si>
    <t>Raj</t>
  </si>
  <si>
    <t>Sasi</t>
  </si>
  <si>
    <t>STUDENT MARK SHEET</t>
  </si>
  <si>
    <t>Cell Reference</t>
  </si>
  <si>
    <t>Quantiy</t>
  </si>
  <si>
    <t>Rate</t>
  </si>
  <si>
    <t>price</t>
  </si>
  <si>
    <t>Relative cell reference</t>
  </si>
  <si>
    <t>Price</t>
  </si>
  <si>
    <t>Tax</t>
  </si>
  <si>
    <t>Name</t>
  </si>
  <si>
    <t>Electric base model</t>
  </si>
  <si>
    <t>medium model</t>
  </si>
  <si>
    <t>top end model</t>
  </si>
  <si>
    <t>Total</t>
  </si>
  <si>
    <t>mixed reference</t>
  </si>
  <si>
    <t>cell reference</t>
  </si>
  <si>
    <t xml:space="preserve">Relative </t>
  </si>
  <si>
    <t>absolute</t>
  </si>
  <si>
    <t>mixed</t>
  </si>
  <si>
    <t>total</t>
  </si>
  <si>
    <t xml:space="preserve"> fixed</t>
  </si>
  <si>
    <t>Bike amount</t>
  </si>
  <si>
    <t>tax amount</t>
  </si>
  <si>
    <t xml:space="preserve">mixed </t>
  </si>
  <si>
    <t>Date</t>
  </si>
  <si>
    <t>Region</t>
  </si>
  <si>
    <t>Product</t>
  </si>
  <si>
    <t>Quantity</t>
  </si>
  <si>
    <t>UnitPrice</t>
  </si>
  <si>
    <t>StoreLocation</t>
  </si>
  <si>
    <t>CustomerType</t>
  </si>
  <si>
    <t>Discount</t>
  </si>
  <si>
    <t>Salesperson</t>
  </si>
  <si>
    <t>PaymentMethod</t>
  </si>
  <si>
    <t>OrderDate</t>
  </si>
  <si>
    <t>DeliveryDate</t>
  </si>
  <si>
    <t>RegionManager</t>
  </si>
  <si>
    <t>East</t>
  </si>
  <si>
    <t>Laptop</t>
  </si>
  <si>
    <t>Store B</t>
  </si>
  <si>
    <t>Wholesale</t>
  </si>
  <si>
    <t>Eva</t>
  </si>
  <si>
    <t>Online</t>
  </si>
  <si>
    <t>Eric</t>
  </si>
  <si>
    <t>South</t>
  </si>
  <si>
    <t>Phone</t>
  </si>
  <si>
    <t>Store A</t>
  </si>
  <si>
    <t>Retail</t>
  </si>
  <si>
    <t>Alice</t>
  </si>
  <si>
    <t>Gift Card</t>
  </si>
  <si>
    <t>Sophie</t>
  </si>
  <si>
    <t>North</t>
  </si>
  <si>
    <t>Desk</t>
  </si>
  <si>
    <t>Ryan</t>
  </si>
  <si>
    <t>Central</t>
  </si>
  <si>
    <t>Chair</t>
  </si>
  <si>
    <t>Frank</t>
  </si>
  <si>
    <t>Cameron</t>
  </si>
  <si>
    <t>Store C</t>
  </si>
  <si>
    <t>Carlos</t>
  </si>
  <si>
    <t>Monitor</t>
  </si>
  <si>
    <t>Store D</t>
  </si>
  <si>
    <t>Diana</t>
  </si>
  <si>
    <t>Credit Card</t>
  </si>
  <si>
    <t>Debit Card</t>
  </si>
  <si>
    <t>Cash</t>
  </si>
  <si>
    <t>Bob</t>
  </si>
  <si>
    <t>West</t>
  </si>
  <si>
    <t>Wendy</t>
  </si>
  <si>
    <t>Tablet</t>
  </si>
  <si>
    <t>Printer</t>
  </si>
  <si>
    <t>Total sales</t>
  </si>
  <si>
    <t>Total sales by Year</t>
  </si>
  <si>
    <t>Average  (2023)</t>
  </si>
  <si>
    <t>Average  (2024)</t>
  </si>
  <si>
    <t>Average  (2025)</t>
  </si>
  <si>
    <t>Error</t>
  </si>
  <si>
    <t>Sale count</t>
  </si>
  <si>
    <t xml:space="preserve">Percentage of sale </t>
  </si>
  <si>
    <t>Total sale price</t>
  </si>
  <si>
    <t>Average</t>
  </si>
  <si>
    <t>Row Labels</t>
  </si>
  <si>
    <t>Grand Total</t>
  </si>
  <si>
    <t>(All)</t>
  </si>
  <si>
    <t>Sum of Total sales</t>
  </si>
  <si>
    <t>Sum of Discount</t>
  </si>
  <si>
    <t>Sum of UnitPrice</t>
  </si>
  <si>
    <t>Years</t>
  </si>
  <si>
    <t>Months</t>
  </si>
  <si>
    <t>January</t>
  </si>
  <si>
    <t>February</t>
  </si>
  <si>
    <t>March</t>
  </si>
  <si>
    <t>April</t>
  </si>
  <si>
    <t>May</t>
  </si>
  <si>
    <t>June</t>
  </si>
  <si>
    <t>July</t>
  </si>
  <si>
    <t>August</t>
  </si>
  <si>
    <t>September</t>
  </si>
  <si>
    <t>October</t>
  </si>
  <si>
    <t>November</t>
  </si>
  <si>
    <t>December</t>
  </si>
  <si>
    <t>ATTENDANCE TRACKING SYSTEM</t>
  </si>
  <si>
    <t>MONTH</t>
  </si>
  <si>
    <t>YEAR</t>
  </si>
  <si>
    <t>S.NO</t>
  </si>
  <si>
    <t>Holiday</t>
  </si>
  <si>
    <t>P COUNT</t>
  </si>
  <si>
    <t>A COUNT</t>
  </si>
  <si>
    <t>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</si>
</sst>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quot;₹&quot;\ #,##0.00"/>
    <numFmt numFmtId="167" formatCode="ddd"/>
    <numFmt numFmtId="168" formatCode="dd"/>
  </numFmts>
  <fonts count="9" x14ac:knownFonts="1">
    <font>
      <sz val="14"/>
      <color theme="1"/>
      <name val="Calibri"/>
      <family val="2"/>
      <scheme val="minor"/>
    </font>
    <font>
      <sz val="14"/>
      <color theme="0"/>
      <name val="Calibri"/>
      <family val="2"/>
      <scheme val="minor"/>
    </font>
    <font>
      <b/>
      <sz val="14"/>
      <color theme="0"/>
      <name val="Calibri"/>
      <family val="2"/>
      <scheme val="minor"/>
    </font>
    <font>
      <b/>
      <sz val="14"/>
      <color theme="1"/>
      <name val="Calibri"/>
      <family val="2"/>
      <scheme val="minor"/>
    </font>
    <font>
      <sz val="11"/>
      <color theme="1"/>
      <name val="Calibri"/>
      <family val="2"/>
      <scheme val="minor"/>
    </font>
    <font>
      <b/>
      <sz val="11"/>
      <color theme="1"/>
      <name val="Calibri"/>
      <family val="2"/>
      <scheme val="minor"/>
    </font>
    <font>
      <b/>
      <sz val="14"/>
      <name val="Calibri"/>
      <family val="2"/>
      <scheme val="minor"/>
    </font>
    <font>
      <sz val="8"/>
      <name val="Calibri"/>
      <family val="2"/>
      <scheme val="minor"/>
    </font>
    <font>
      <b/>
      <sz val="24"/>
      <color theme="0"/>
      <name val="Calibri"/>
      <family val="2"/>
      <scheme val="minor"/>
    </font>
  </fonts>
  <fills count="24">
    <fill>
      <patternFill patternType="none"/>
    </fill>
    <fill>
      <patternFill patternType="gray125"/>
    </fill>
    <fill>
      <patternFill patternType="solid">
        <fgColor theme="1" tint="0.249977111117893"/>
        <bgColor indexed="64"/>
      </patternFill>
    </fill>
    <fill>
      <patternFill patternType="solid">
        <fgColor theme="1" tint="0.14999847407452621"/>
        <bgColor indexed="64"/>
      </patternFill>
    </fill>
    <fill>
      <patternFill patternType="solid">
        <fgColor theme="2" tint="-0.249977111117893"/>
        <bgColor indexed="64"/>
      </patternFill>
    </fill>
    <fill>
      <patternFill patternType="solid">
        <fgColor rgb="FFFFFF00"/>
        <bgColor indexed="64"/>
      </patternFill>
    </fill>
    <fill>
      <patternFill patternType="solid">
        <fgColor theme="7" tint="-0.249977111117893"/>
        <bgColor indexed="64"/>
      </patternFill>
    </fill>
    <fill>
      <patternFill patternType="solid">
        <fgColor theme="7" tint="0.39997558519241921"/>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rgb="FFFF0000"/>
        <bgColor indexed="64"/>
      </patternFill>
    </fill>
    <fill>
      <patternFill patternType="solid">
        <fgColor theme="6" tint="-0.499984740745262"/>
        <bgColor indexed="64"/>
      </patternFill>
    </fill>
    <fill>
      <patternFill patternType="solid">
        <fgColor theme="6" tint="-0.249977111117893"/>
        <bgColor indexed="64"/>
      </patternFill>
    </fill>
    <fill>
      <patternFill patternType="solid">
        <fgColor rgb="FFC00000"/>
        <bgColor indexed="64"/>
      </patternFill>
    </fill>
    <fill>
      <patternFill patternType="solid">
        <fgColor theme="9"/>
        <bgColor indexed="64"/>
      </patternFill>
    </fill>
    <fill>
      <patternFill patternType="solid">
        <fgColor theme="3" tint="0.79998168889431442"/>
        <bgColor indexed="64"/>
      </patternFill>
    </fill>
    <fill>
      <patternFill patternType="solid">
        <fgColor rgb="FF002060"/>
        <bgColor indexed="64"/>
      </patternFill>
    </fill>
    <fill>
      <patternFill patternType="solid">
        <fgColor theme="8" tint="0.39997558519241921"/>
        <bgColor indexed="64"/>
      </patternFill>
    </fill>
    <fill>
      <patternFill patternType="solid">
        <fgColor theme="8"/>
        <bgColor indexed="64"/>
      </patternFill>
    </fill>
    <fill>
      <patternFill patternType="solid">
        <fgColor theme="7" tint="-0.49998474074526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rgb="FF00B050"/>
        <bgColor indexed="64"/>
      </patternFill>
    </fill>
    <fill>
      <patternFill patternType="solid">
        <fgColor theme="9" tint="-0.49998474074526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s>
  <cellStyleXfs count="2">
    <xf numFmtId="0" fontId="0" fillId="0" borderId="0"/>
    <xf numFmtId="0" fontId="4" fillId="0" borderId="0"/>
  </cellStyleXfs>
  <cellXfs count="47">
    <xf numFmtId="0" fontId="0" fillId="0" borderId="0" xfId="0"/>
    <xf numFmtId="0" fontId="0" fillId="0" borderId="0" xfId="0" applyAlignment="1">
      <alignment horizontal="center" vertical="center"/>
    </xf>
    <xf numFmtId="0" fontId="1" fillId="2" borderId="1" xfId="0" applyFont="1" applyFill="1" applyBorder="1" applyAlignment="1">
      <alignment horizontal="center" vertical="center"/>
    </xf>
    <xf numFmtId="0" fontId="0" fillId="4" borderId="1" xfId="0" applyFill="1" applyBorder="1" applyAlignment="1">
      <alignment horizontal="center" vertical="center"/>
    </xf>
    <xf numFmtId="0" fontId="0" fillId="4" borderId="1" xfId="0" applyFill="1" applyBorder="1" applyAlignment="1">
      <alignment horizontal="left" vertical="center"/>
    </xf>
    <xf numFmtId="0" fontId="0" fillId="5" borderId="0" xfId="0" applyFill="1"/>
    <xf numFmtId="14" fontId="0" fillId="0" borderId="0" xfId="0" applyNumberFormat="1"/>
    <xf numFmtId="0" fontId="4" fillId="0" borderId="0" xfId="1"/>
    <xf numFmtId="0" fontId="5" fillId="0" borderId="1" xfId="1" applyFont="1" applyBorder="1" applyAlignment="1">
      <alignment horizontal="center" vertical="top"/>
    </xf>
    <xf numFmtId="164" fontId="4" fillId="0" borderId="0" xfId="1" applyNumberFormat="1"/>
    <xf numFmtId="0" fontId="5" fillId="0" borderId="2" xfId="1" applyFont="1" applyBorder="1" applyAlignment="1">
      <alignment horizontal="center" vertical="top"/>
    </xf>
    <xf numFmtId="0" fontId="2" fillId="7" borderId="0" xfId="0" applyFont="1" applyFill="1" applyAlignment="1">
      <alignment horizontal="center" vertical="center"/>
    </xf>
    <xf numFmtId="0" fontId="2" fillId="9" borderId="0" xfId="0" applyFont="1" applyFill="1" applyAlignment="1">
      <alignment horizontal="center" vertical="center"/>
    </xf>
    <xf numFmtId="0" fontId="2" fillId="12" borderId="0" xfId="0" applyFont="1" applyFill="1" applyAlignment="1">
      <alignment horizontal="center" vertical="center"/>
    </xf>
    <xf numFmtId="0" fontId="0" fillId="0" borderId="1" xfId="0" applyBorder="1"/>
    <xf numFmtId="0" fontId="2" fillId="10" borderId="1" xfId="0" applyFont="1" applyFill="1" applyBorder="1" applyAlignment="1">
      <alignment horizontal="center" vertical="center"/>
    </xf>
    <xf numFmtId="0" fontId="2" fillId="13" borderId="0" xfId="0" applyFont="1" applyFill="1" applyAlignment="1">
      <alignment horizontal="center" vertical="center"/>
    </xf>
    <xf numFmtId="0" fontId="1" fillId="14" borderId="0" xfId="0" applyFont="1" applyFill="1" applyAlignment="1">
      <alignment horizontal="center" vertical="center"/>
    </xf>
    <xf numFmtId="10" fontId="1" fillId="14" borderId="0" xfId="0" applyNumberFormat="1" applyFont="1" applyFill="1" applyAlignment="1">
      <alignment horizontal="center" vertical="center"/>
    </xf>
    <xf numFmtId="0" fontId="0" fillId="15" borderId="0" xfId="0" applyFill="1" applyAlignment="1">
      <alignment horizontal="center" vertical="center"/>
    </xf>
    <xf numFmtId="10" fontId="0" fillId="17" borderId="0" xfId="0" applyNumberFormat="1" applyFill="1" applyAlignment="1">
      <alignment horizontal="center" vertical="center"/>
    </xf>
    <xf numFmtId="0" fontId="2" fillId="14" borderId="0" xfId="0" applyFont="1" applyFill="1"/>
    <xf numFmtId="165" fontId="1" fillId="8" borderId="0" xfId="0" applyNumberFormat="1" applyFont="1" applyFill="1" applyAlignment="1">
      <alignment horizontal="center"/>
    </xf>
    <xf numFmtId="0" fontId="2" fillId="22" borderId="0" xfId="0" applyFont="1" applyFill="1" applyAlignment="1">
      <alignment horizontal="center" vertical="center"/>
    </xf>
    <xf numFmtId="0" fontId="3" fillId="21" borderId="1" xfId="0" applyFont="1" applyFill="1" applyBorder="1" applyAlignment="1">
      <alignment horizontal="center" vertical="center"/>
    </xf>
    <xf numFmtId="0" fontId="0" fillId="0" borderId="1" xfId="0" applyBorder="1" applyAlignment="1">
      <alignment horizontal="center" vertical="center"/>
    </xf>
    <xf numFmtId="0" fontId="3" fillId="20" borderId="1" xfId="0" applyFont="1" applyFill="1" applyBorder="1" applyAlignment="1">
      <alignment horizontal="center" vertical="center"/>
    </xf>
    <xf numFmtId="0" fontId="3" fillId="7" borderId="1" xfId="0"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2" fillId="6" borderId="0" xfId="0" applyFont="1" applyFill="1" applyAlignment="1">
      <alignment horizontal="center" vertical="center"/>
    </xf>
    <xf numFmtId="0" fontId="1" fillId="11" borderId="0" xfId="0" applyFont="1" applyFill="1" applyAlignment="1">
      <alignment horizontal="center" vertical="center"/>
    </xf>
    <xf numFmtId="0" fontId="1" fillId="16" borderId="0" xfId="0" applyFont="1" applyFill="1" applyAlignment="1">
      <alignment horizontal="center" vertical="center"/>
    </xf>
    <xf numFmtId="0" fontId="6" fillId="5" borderId="1" xfId="0" applyFont="1" applyFill="1" applyBorder="1" applyAlignment="1">
      <alignment horizontal="center" vertical="center"/>
    </xf>
    <xf numFmtId="0" fontId="3" fillId="18" borderId="1" xfId="0" applyFont="1" applyFill="1" applyBorder="1" applyAlignment="1">
      <alignment horizontal="center" vertical="center"/>
    </xf>
    <xf numFmtId="0" fontId="2" fillId="19" borderId="1" xfId="0" applyFont="1" applyFill="1" applyBorder="1" applyAlignment="1">
      <alignment horizontal="center"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0" fillId="0" borderId="0" xfId="0" applyAlignment="1">
      <alignment horizontal="center"/>
    </xf>
    <xf numFmtId="0" fontId="8" fillId="23" borderId="0" xfId="0" applyFont="1" applyFill="1" applyAlignment="1">
      <alignment horizontal="center" vertical="center"/>
    </xf>
    <xf numFmtId="168" fontId="0" fillId="0" borderId="0" xfId="0" applyNumberFormat="1"/>
    <xf numFmtId="0" fontId="0" fillId="0" borderId="1" xfId="0" applyBorder="1" applyAlignment="1">
      <alignment horizontal="center" vertical="center"/>
    </xf>
    <xf numFmtId="167" fontId="0" fillId="0" borderId="1" xfId="0" applyNumberFormat="1" applyBorder="1" applyAlignment="1">
      <alignment horizontal="center" vertical="center"/>
    </xf>
    <xf numFmtId="168" fontId="0" fillId="0" borderId="1" xfId="0" applyNumberFormat="1" applyBorder="1" applyAlignment="1">
      <alignment horizontal="center" vertical="center"/>
    </xf>
    <xf numFmtId="168" fontId="0" fillId="0" borderId="3" xfId="0" applyNumberFormat="1" applyFill="1" applyBorder="1" applyAlignment="1">
      <alignment horizontal="center" vertical="center"/>
    </xf>
    <xf numFmtId="10" fontId="0" fillId="0" borderId="0" xfId="0" applyNumberFormat="1"/>
  </cellXfs>
  <cellStyles count="2">
    <cellStyle name="Normal" xfId="0" builtinId="0"/>
    <cellStyle name="Normal 2" xfId="1" xr:uid="{838E1F74-091B-422A-8F25-11DC4903382E}"/>
  </cellStyles>
  <dxfs count="14">
    <dxf>
      <font>
        <b/>
        <i val="0"/>
        <color theme="0"/>
      </font>
      <fill>
        <patternFill>
          <bgColor rgb="FF00B0F0"/>
        </patternFill>
      </fill>
    </dxf>
    <dxf>
      <font>
        <color theme="0"/>
      </font>
      <fill>
        <patternFill>
          <bgColor rgb="FFFF0000"/>
        </patternFill>
      </fill>
    </dxf>
    <dxf>
      <font>
        <color theme="0"/>
      </font>
      <fill>
        <patternFill>
          <bgColor rgb="FF00B050"/>
        </patternFill>
      </fill>
    </dxf>
    <dxf>
      <fill>
        <patternFill patternType="darkDown">
          <fgColor auto="1"/>
          <bgColor rgb="FF00B0F0"/>
        </patternFill>
      </fill>
    </dxf>
    <dxf>
      <numFmt numFmtId="19" formatCode="dd/mm/yyyy"/>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gradientFill degree="90">
          <stop position="0">
            <color theme="5" tint="0.40000610370189521"/>
          </stop>
          <stop position="1">
            <color theme="5" tint="-0.49803155613879818"/>
          </stop>
        </gradientFill>
      </fill>
    </dxf>
    <dxf>
      <fill>
        <gradientFill degree="90">
          <stop position="0">
            <color rgb="FF10A872"/>
          </stop>
          <stop position="1">
            <color rgb="FFFFFF00"/>
          </stop>
        </gradientFill>
      </fill>
    </dxf>
    <dxf>
      <fill>
        <patternFill>
          <bgColor rgb="FFFF0000"/>
        </patternFill>
      </fill>
    </dxf>
    <dxf>
      <fill>
        <gradientFill degree="90">
          <stop position="0">
            <color theme="7" tint="0.40000610370189521"/>
          </stop>
          <stop position="1">
            <color theme="7" tint="-0.25098422193060094"/>
          </stop>
        </gradientFill>
      </fill>
    </dxf>
    <dxf>
      <fill>
        <gradientFill degree="90">
          <stop position="0">
            <color theme="9" tint="-0.25098422193060094"/>
          </stop>
          <stop position="1">
            <color theme="8" tint="-0.49803155613879818"/>
          </stop>
        </gradientFill>
      </fill>
    </dxf>
    <dxf>
      <fill>
        <gradientFill degree="90">
          <stop position="0">
            <color theme="9" tint="-0.25098422193060094"/>
          </stop>
          <stop position="1">
            <color theme="9" tint="-0.49803155613879818"/>
          </stop>
        </gradientFill>
      </fill>
    </dxf>
  </dxfs>
  <tableStyles count="0" defaultTableStyle="TableStyleMedium2" defaultPivotStyle="PivotStyleLight16"/>
  <colors>
    <mruColors>
      <color rgb="FFCE3232"/>
      <color rgb="FFDE4A22"/>
      <color rgb="FFD85228"/>
      <color rgb="FF10A87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'Task 1'!$H$2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 1'!$B$3:$B$8</c:f>
              <c:strCache>
                <c:ptCount val="6"/>
                <c:pt idx="1">
                  <c:v>Ganesh</c:v>
                </c:pt>
                <c:pt idx="2">
                  <c:v>Naren</c:v>
                </c:pt>
                <c:pt idx="3">
                  <c:v>Giri</c:v>
                </c:pt>
                <c:pt idx="4">
                  <c:v>Raj</c:v>
                </c:pt>
                <c:pt idx="5">
                  <c:v>Sasi</c:v>
                </c:pt>
              </c:strCache>
            </c:strRef>
          </c:cat>
          <c:val>
            <c:numRef>
              <c:f>'Task 1'!$H$3:$H$8</c:f>
              <c:numCache>
                <c:formatCode>General</c:formatCode>
                <c:ptCount val="6"/>
                <c:pt idx="1">
                  <c:v>342</c:v>
                </c:pt>
                <c:pt idx="2">
                  <c:v>257</c:v>
                </c:pt>
                <c:pt idx="3">
                  <c:v>334</c:v>
                </c:pt>
                <c:pt idx="4">
                  <c:v>347</c:v>
                </c:pt>
                <c:pt idx="5">
                  <c:v>363</c:v>
                </c:pt>
              </c:numCache>
            </c:numRef>
          </c:val>
          <c:extLst>
            <c:ext xmlns:c16="http://schemas.microsoft.com/office/drawing/2014/chart" uri="{C3380CC4-5D6E-409C-BE32-E72D297353CC}">
              <c16:uniqueId val="{00000000-681A-4943-98D1-F1D667AD86BB}"/>
            </c:ext>
          </c:extLst>
        </c:ser>
        <c:dLbls>
          <c:dLblPos val="outEnd"/>
          <c:showLegendKey val="0"/>
          <c:showVal val="1"/>
          <c:showCatName val="0"/>
          <c:showSerName val="0"/>
          <c:showPercent val="0"/>
          <c:showBubbleSize val="0"/>
        </c:dLbls>
        <c:gapWidth val="100"/>
        <c:overlap val="-24"/>
        <c:axId val="2117035328"/>
        <c:axId val="1875344592"/>
      </c:barChart>
      <c:catAx>
        <c:axId val="21170353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5344592"/>
        <c:crosses val="autoZero"/>
        <c:auto val="1"/>
        <c:lblAlgn val="ctr"/>
        <c:lblOffset val="100"/>
        <c:noMultiLvlLbl val="0"/>
      </c:catAx>
      <c:valAx>
        <c:axId val="18753445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703532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tx>
            <c:strRef>
              <c:f>'Task 1'!$I$2</c:f>
              <c:strCache>
                <c:ptCount val="1"/>
                <c:pt idx="0">
                  <c:v>AVERAGE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B83-4466-BEAC-E33910ACAD3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B83-4466-BEAC-E33910ACAD3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B83-4466-BEAC-E33910ACAD3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B83-4466-BEAC-E33910ACAD3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B83-4466-BEAC-E33910ACAD3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B83-4466-BEAC-E33910ACAD3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'Task 1'!$B$3:$B$8</c:f>
              <c:strCache>
                <c:ptCount val="6"/>
                <c:pt idx="1">
                  <c:v>Ganesh</c:v>
                </c:pt>
                <c:pt idx="2">
                  <c:v>Naren</c:v>
                </c:pt>
                <c:pt idx="3">
                  <c:v>Giri</c:v>
                </c:pt>
                <c:pt idx="4">
                  <c:v>Raj</c:v>
                </c:pt>
                <c:pt idx="5">
                  <c:v>Sasi</c:v>
                </c:pt>
              </c:strCache>
            </c:strRef>
          </c:cat>
          <c:val>
            <c:numRef>
              <c:f>'Task 1'!$I$3:$I$8</c:f>
              <c:numCache>
                <c:formatCode>General</c:formatCode>
                <c:ptCount val="6"/>
                <c:pt idx="1">
                  <c:v>68.400000000000006</c:v>
                </c:pt>
                <c:pt idx="2">
                  <c:v>51.4</c:v>
                </c:pt>
                <c:pt idx="3">
                  <c:v>66.8</c:v>
                </c:pt>
                <c:pt idx="4">
                  <c:v>69.400000000000006</c:v>
                </c:pt>
                <c:pt idx="5">
                  <c:v>72.599999999999994</c:v>
                </c:pt>
              </c:numCache>
            </c:numRef>
          </c:val>
          <c:extLst>
            <c:ext xmlns:c16="http://schemas.microsoft.com/office/drawing/2014/chart" uri="{C3380CC4-5D6E-409C-BE32-E72D297353CC}">
              <c16:uniqueId val="{00000000-6A25-4D2C-AFE2-71D17EB15B0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[practice_excel.xlsx]pivot chart!PivotTable3</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pivotFmt>
      <c:pivotFmt>
        <c:idx val="6"/>
        <c:spPr>
          <a:pattFill prst="narHorz">
            <a:fgClr>
              <a:schemeClr val="accent1"/>
            </a:fgClr>
            <a:bgClr>
              <a:schemeClr val="accent1">
                <a:lumMod val="20000"/>
                <a:lumOff val="80000"/>
              </a:schemeClr>
            </a:bgClr>
          </a:pattFill>
          <a:ln>
            <a:noFill/>
          </a:ln>
          <a:effectLst>
            <a:innerShdw blurRad="114300">
              <a:schemeClr val="accent1"/>
            </a:innerShdw>
          </a:effectLst>
        </c:spPr>
      </c:pivotFmt>
      <c:pivotFmt>
        <c:idx val="7"/>
        <c:spPr>
          <a:pattFill prst="narHorz">
            <a:fgClr>
              <a:schemeClr val="accent1"/>
            </a:fgClr>
            <a:bgClr>
              <a:schemeClr val="accent1">
                <a:lumMod val="20000"/>
                <a:lumOff val="80000"/>
              </a:schemeClr>
            </a:bgClr>
          </a:pattFill>
          <a:ln>
            <a:noFill/>
          </a:ln>
          <a:effectLst>
            <a:innerShdw blurRad="114300">
              <a:schemeClr val="accent1"/>
            </a:innerShdw>
          </a:effectLst>
        </c:spPr>
      </c:pivotFmt>
    </c:pivotFmts>
    <c:plotArea>
      <c:layout/>
      <c:pieChart>
        <c:varyColors val="1"/>
        <c:ser>
          <c:idx val="0"/>
          <c:order val="0"/>
          <c:tx>
            <c:strRef>
              <c:f>'pivot chart'!$B$3</c:f>
              <c:strCache>
                <c:ptCount val="1"/>
                <c:pt idx="0">
                  <c:v>Total</c:v>
                </c:pt>
              </c:strCache>
            </c:strRef>
          </c:tx>
          <c:dPt>
            <c:idx val="0"/>
            <c:bubble3D val="0"/>
            <c:spPr>
              <a:pattFill prst="narHorz">
                <a:fgClr>
                  <a:schemeClr val="accent1"/>
                </a:fgClr>
                <a:bgClr>
                  <a:schemeClr val="accent1">
                    <a:lumMod val="20000"/>
                    <a:lumOff val="80000"/>
                  </a:schemeClr>
                </a:bgClr>
              </a:pattFill>
              <a:ln>
                <a:noFill/>
              </a:ln>
              <a:effectLst>
                <a:innerShdw blurRad="114300">
                  <a:schemeClr val="accent1"/>
                </a:innerShdw>
              </a:effectLst>
            </c:spPr>
            <c:extLst>
              <c:ext xmlns:c16="http://schemas.microsoft.com/office/drawing/2014/chart" uri="{C3380CC4-5D6E-409C-BE32-E72D297353CC}">
                <c16:uniqueId val="{00000001-C5D0-44A7-9677-E8E7DC6D652A}"/>
              </c:ext>
            </c:extLst>
          </c:dPt>
          <c:dPt>
            <c:idx val="1"/>
            <c:bubble3D val="0"/>
            <c:spPr>
              <a:pattFill prst="narHorz">
                <a:fgClr>
                  <a:schemeClr val="accent2"/>
                </a:fgClr>
                <a:bgClr>
                  <a:schemeClr val="accent2">
                    <a:lumMod val="20000"/>
                    <a:lumOff val="80000"/>
                  </a:schemeClr>
                </a:bgClr>
              </a:pattFill>
              <a:ln>
                <a:noFill/>
              </a:ln>
              <a:effectLst>
                <a:innerShdw blurRad="114300">
                  <a:schemeClr val="accent2"/>
                </a:innerShdw>
              </a:effectLst>
            </c:spPr>
            <c:extLst>
              <c:ext xmlns:c16="http://schemas.microsoft.com/office/drawing/2014/chart" uri="{C3380CC4-5D6E-409C-BE32-E72D297353CC}">
                <c16:uniqueId val="{00000003-C5D0-44A7-9677-E8E7DC6D652A}"/>
              </c:ext>
            </c:extLst>
          </c:dPt>
          <c:dPt>
            <c:idx val="2"/>
            <c:bubble3D val="0"/>
            <c:spPr>
              <a:pattFill prst="narHorz">
                <a:fgClr>
                  <a:schemeClr val="accent3"/>
                </a:fgClr>
                <a:bgClr>
                  <a:schemeClr val="accent3">
                    <a:lumMod val="20000"/>
                    <a:lumOff val="80000"/>
                  </a:schemeClr>
                </a:bgClr>
              </a:pattFill>
              <a:ln>
                <a:noFill/>
              </a:ln>
              <a:effectLst>
                <a:innerShdw blurRad="114300">
                  <a:schemeClr val="accent3"/>
                </a:innerShdw>
              </a:effectLst>
            </c:spPr>
            <c:extLst>
              <c:ext xmlns:c16="http://schemas.microsoft.com/office/drawing/2014/chart" uri="{C3380CC4-5D6E-409C-BE32-E72D297353CC}">
                <c16:uniqueId val="{00000005-C5D0-44A7-9677-E8E7DC6D652A}"/>
              </c:ext>
            </c:extLst>
          </c:dPt>
          <c:dPt>
            <c:idx val="3"/>
            <c:bubble3D val="0"/>
            <c:spPr>
              <a:pattFill prst="narHorz">
                <a:fgClr>
                  <a:schemeClr val="accent4"/>
                </a:fgClr>
                <a:bgClr>
                  <a:schemeClr val="accent4">
                    <a:lumMod val="20000"/>
                    <a:lumOff val="80000"/>
                  </a:schemeClr>
                </a:bgClr>
              </a:pattFill>
              <a:ln>
                <a:noFill/>
              </a:ln>
              <a:effectLst>
                <a:innerShdw blurRad="114300">
                  <a:schemeClr val="accent4"/>
                </a:innerShdw>
              </a:effectLst>
            </c:spPr>
            <c:extLst>
              <c:ext xmlns:c16="http://schemas.microsoft.com/office/drawing/2014/chart" uri="{C3380CC4-5D6E-409C-BE32-E72D297353CC}">
                <c16:uniqueId val="{00000007-C5D0-44A7-9677-E8E7DC6D652A}"/>
              </c:ext>
            </c:extLst>
          </c:dPt>
          <c:dPt>
            <c:idx val="4"/>
            <c:bubble3D val="0"/>
            <c:spPr>
              <a:pattFill prst="narHorz">
                <a:fgClr>
                  <a:schemeClr val="accent5"/>
                </a:fgClr>
                <a:bgClr>
                  <a:schemeClr val="accent5">
                    <a:lumMod val="20000"/>
                    <a:lumOff val="80000"/>
                  </a:schemeClr>
                </a:bgClr>
              </a:pattFill>
              <a:ln>
                <a:noFill/>
              </a:ln>
              <a:effectLst>
                <a:innerShdw blurRad="114300">
                  <a:schemeClr val="accent5"/>
                </a:innerShdw>
              </a:effectLst>
            </c:spPr>
            <c:extLst>
              <c:ext xmlns:c16="http://schemas.microsoft.com/office/drawing/2014/chart" uri="{C3380CC4-5D6E-409C-BE32-E72D297353CC}">
                <c16:uniqueId val="{00000009-C5D0-44A7-9677-E8E7DC6D652A}"/>
              </c:ext>
            </c:extLst>
          </c:dPt>
          <c:dPt>
            <c:idx val="5"/>
            <c:bubble3D val="0"/>
            <c:spPr>
              <a:pattFill prst="narHorz">
                <a:fgClr>
                  <a:schemeClr val="accent6"/>
                </a:fgClr>
                <a:bgClr>
                  <a:schemeClr val="accent6">
                    <a:lumMod val="20000"/>
                    <a:lumOff val="80000"/>
                  </a:schemeClr>
                </a:bgClr>
              </a:pattFill>
              <a:ln>
                <a:noFill/>
              </a:ln>
              <a:effectLst>
                <a:innerShdw blurRad="114300">
                  <a:schemeClr val="accent6"/>
                </a:innerShdw>
              </a:effectLst>
            </c:spPr>
            <c:extLst>
              <c:ext xmlns:c16="http://schemas.microsoft.com/office/drawing/2014/chart" uri="{C3380CC4-5D6E-409C-BE32-E72D297353CC}">
                <c16:uniqueId val="{0000000B-C5D0-44A7-9677-E8E7DC6D652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chart'!$A$4:$A$10</c:f>
              <c:strCache>
                <c:ptCount val="6"/>
                <c:pt idx="0">
                  <c:v>Chair</c:v>
                </c:pt>
                <c:pt idx="1">
                  <c:v>Desk</c:v>
                </c:pt>
                <c:pt idx="2">
                  <c:v>Laptop</c:v>
                </c:pt>
                <c:pt idx="3">
                  <c:v>Phone</c:v>
                </c:pt>
                <c:pt idx="4">
                  <c:v>Printer</c:v>
                </c:pt>
                <c:pt idx="5">
                  <c:v>Tablet</c:v>
                </c:pt>
              </c:strCache>
            </c:strRef>
          </c:cat>
          <c:val>
            <c:numRef>
              <c:f>'pivot chart'!$B$4:$B$10</c:f>
              <c:numCache>
                <c:formatCode>General</c:formatCode>
                <c:ptCount val="6"/>
                <c:pt idx="0">
                  <c:v>3525.6899999999996</c:v>
                </c:pt>
                <c:pt idx="1">
                  <c:v>389.88</c:v>
                </c:pt>
                <c:pt idx="2">
                  <c:v>1444.71</c:v>
                </c:pt>
                <c:pt idx="3">
                  <c:v>544.01</c:v>
                </c:pt>
                <c:pt idx="4">
                  <c:v>2351.6</c:v>
                </c:pt>
                <c:pt idx="5">
                  <c:v>4841.28</c:v>
                </c:pt>
              </c:numCache>
            </c:numRef>
          </c:val>
          <c:extLst>
            <c:ext xmlns:c16="http://schemas.microsoft.com/office/drawing/2014/chart" uri="{C3380CC4-5D6E-409C-BE32-E72D297353CC}">
              <c16:uniqueId val="{00000002-D504-422E-BE0A-67BF5AFF958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101077</xdr:colOff>
      <xdr:row>8</xdr:row>
      <xdr:rowOff>199690</xdr:rowOff>
    </xdr:from>
    <xdr:to>
      <xdr:col>5</xdr:col>
      <xdr:colOff>531831</xdr:colOff>
      <xdr:row>20</xdr:row>
      <xdr:rowOff>199689</xdr:rowOff>
    </xdr:to>
    <xdr:graphicFrame macro="">
      <xdr:nvGraphicFramePr>
        <xdr:cNvPr id="2" name="Chart 1">
          <a:extLst>
            <a:ext uri="{FF2B5EF4-FFF2-40B4-BE49-F238E27FC236}">
              <a16:creationId xmlns:a16="http://schemas.microsoft.com/office/drawing/2014/main" id="{F96A48EE-6D35-8810-A9EA-02F999AE4C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149486</xdr:colOff>
      <xdr:row>8</xdr:row>
      <xdr:rowOff>197448</xdr:rowOff>
    </xdr:from>
    <xdr:to>
      <xdr:col>11</xdr:col>
      <xdr:colOff>755501</xdr:colOff>
      <xdr:row>20</xdr:row>
      <xdr:rowOff>197448</xdr:rowOff>
    </xdr:to>
    <xdr:graphicFrame macro="">
      <xdr:nvGraphicFramePr>
        <xdr:cNvPr id="3" name="Chart 2">
          <a:extLst>
            <a:ext uri="{FF2B5EF4-FFF2-40B4-BE49-F238E27FC236}">
              <a16:creationId xmlns:a16="http://schemas.microsoft.com/office/drawing/2014/main" id="{D3A1B13F-CD28-75FF-C75F-ADBCD1524C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304800</xdr:colOff>
      <xdr:row>0</xdr:row>
      <xdr:rowOff>38101</xdr:rowOff>
    </xdr:from>
    <xdr:to>
      <xdr:col>5</xdr:col>
      <xdr:colOff>876300</xdr:colOff>
      <xdr:row>11</xdr:row>
      <xdr:rowOff>144781</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9318628A-5D9A-A5BC-254F-8A435F7EFA6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509260" y="38101"/>
              <a:ext cx="1828800" cy="2621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960120</xdr:colOff>
      <xdr:row>0</xdr:row>
      <xdr:rowOff>91440</xdr:rowOff>
    </xdr:from>
    <xdr:to>
      <xdr:col>7</xdr:col>
      <xdr:colOff>944880</xdr:colOff>
      <xdr:row>12</xdr:row>
      <xdr:rowOff>198120</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B19EAF66-FC4A-FFE6-1F96-A0BF7E98696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7421880" y="91440"/>
              <a:ext cx="1828800" cy="2849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1051560</xdr:colOff>
      <xdr:row>1</xdr:row>
      <xdr:rowOff>53341</xdr:rowOff>
    </xdr:from>
    <xdr:to>
      <xdr:col>8</xdr:col>
      <xdr:colOff>1211580</xdr:colOff>
      <xdr:row>10</xdr:row>
      <xdr:rowOff>129541</xdr:rowOff>
    </xdr:to>
    <mc:AlternateContent xmlns:mc="http://schemas.openxmlformats.org/markup-compatibility/2006" xmlns:a14="http://schemas.microsoft.com/office/drawing/2010/main">
      <mc:Choice Requires="a14">
        <xdr:graphicFrame macro="">
          <xdr:nvGraphicFramePr>
            <xdr:cNvPr id="4" name="StoreLocation">
              <a:extLst>
                <a:ext uri="{FF2B5EF4-FFF2-40B4-BE49-F238E27FC236}">
                  <a16:creationId xmlns:a16="http://schemas.microsoft.com/office/drawing/2014/main" id="{FB5022BA-2EC5-ABA4-8F9D-99F12455EE60}"/>
                </a:ext>
              </a:extLst>
            </xdr:cNvPr>
            <xdr:cNvGraphicFramePr/>
          </xdr:nvGraphicFramePr>
          <xdr:xfrm>
            <a:off x="0" y="0"/>
            <a:ext cx="0" cy="0"/>
          </xdr:xfrm>
          <a:graphic>
            <a:graphicData uri="http://schemas.microsoft.com/office/drawing/2010/slicer">
              <sle:slicer xmlns:sle="http://schemas.microsoft.com/office/drawing/2010/slicer" name="StoreLocation"/>
            </a:graphicData>
          </a:graphic>
        </xdr:graphicFrame>
      </mc:Choice>
      <mc:Fallback xmlns="">
        <xdr:sp macro="" textlink="">
          <xdr:nvSpPr>
            <xdr:cNvPr id="0" name=""/>
            <xdr:cNvSpPr>
              <a:spLocks noTextEdit="1"/>
            </xdr:cNvSpPr>
          </xdr:nvSpPr>
          <xdr:spPr>
            <a:xfrm>
              <a:off x="9357360" y="281941"/>
              <a:ext cx="1828800" cy="2133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335280</xdr:colOff>
      <xdr:row>12</xdr:row>
      <xdr:rowOff>38100</xdr:rowOff>
    </xdr:from>
    <xdr:to>
      <xdr:col>5</xdr:col>
      <xdr:colOff>906780</xdr:colOff>
      <xdr:row>20</xdr:row>
      <xdr:rowOff>150495</xdr:rowOff>
    </xdr:to>
    <mc:AlternateContent xmlns:mc="http://schemas.openxmlformats.org/markup-compatibility/2006" xmlns:a14="http://schemas.microsoft.com/office/drawing/2010/main">
      <mc:Choice Requires="a14">
        <xdr:graphicFrame macro="">
          <xdr:nvGraphicFramePr>
            <xdr:cNvPr id="5" name="CustomerType">
              <a:extLst>
                <a:ext uri="{FF2B5EF4-FFF2-40B4-BE49-F238E27FC236}">
                  <a16:creationId xmlns:a16="http://schemas.microsoft.com/office/drawing/2014/main" id="{CC92EAFC-7CA4-1F97-5099-E90168B202F3}"/>
                </a:ext>
              </a:extLst>
            </xdr:cNvPr>
            <xdr:cNvGraphicFramePr/>
          </xdr:nvGraphicFramePr>
          <xdr:xfrm>
            <a:off x="0" y="0"/>
            <a:ext cx="0" cy="0"/>
          </xdr:xfrm>
          <a:graphic>
            <a:graphicData uri="http://schemas.microsoft.com/office/drawing/2010/slicer">
              <sle:slicer xmlns:sle="http://schemas.microsoft.com/office/drawing/2010/slicer" name="CustomerType"/>
            </a:graphicData>
          </a:graphic>
        </xdr:graphicFrame>
      </mc:Choice>
      <mc:Fallback xmlns="">
        <xdr:sp macro="" textlink="">
          <xdr:nvSpPr>
            <xdr:cNvPr id="0" name=""/>
            <xdr:cNvSpPr>
              <a:spLocks noTextEdit="1"/>
            </xdr:cNvSpPr>
          </xdr:nvSpPr>
          <xdr:spPr>
            <a:xfrm>
              <a:off x="5539740" y="2781300"/>
              <a:ext cx="1828800" cy="19411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114300</xdr:colOff>
      <xdr:row>1</xdr:row>
      <xdr:rowOff>22860</xdr:rowOff>
    </xdr:from>
    <xdr:to>
      <xdr:col>10</xdr:col>
      <xdr:colOff>274320</xdr:colOff>
      <xdr:row>14</xdr:row>
      <xdr:rowOff>89535</xdr:rowOff>
    </xdr:to>
    <mc:AlternateContent xmlns:mc="http://schemas.openxmlformats.org/markup-compatibility/2006" xmlns:a14="http://schemas.microsoft.com/office/drawing/2010/main">
      <mc:Choice Requires="a14">
        <xdr:graphicFrame macro="">
          <xdr:nvGraphicFramePr>
            <xdr:cNvPr id="6" name="Salesperson">
              <a:extLst>
                <a:ext uri="{FF2B5EF4-FFF2-40B4-BE49-F238E27FC236}">
                  <a16:creationId xmlns:a16="http://schemas.microsoft.com/office/drawing/2014/main" id="{3847C60B-4E6F-AF12-2D98-5DC7401C6F0F}"/>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1879580" y="251460"/>
              <a:ext cx="1828800" cy="3038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1188720</xdr:colOff>
      <xdr:row>11</xdr:row>
      <xdr:rowOff>38100</xdr:rowOff>
    </xdr:from>
    <xdr:to>
      <xdr:col>8</xdr:col>
      <xdr:colOff>1348740</xdr:colOff>
      <xdr:row>21</xdr:row>
      <xdr:rowOff>135255</xdr:rowOff>
    </xdr:to>
    <mc:AlternateContent xmlns:mc="http://schemas.openxmlformats.org/markup-compatibility/2006" xmlns:a14="http://schemas.microsoft.com/office/drawing/2010/main">
      <mc:Choice Requires="a14">
        <xdr:graphicFrame macro="">
          <xdr:nvGraphicFramePr>
            <xdr:cNvPr id="7" name="PaymentMethod">
              <a:extLst>
                <a:ext uri="{FF2B5EF4-FFF2-40B4-BE49-F238E27FC236}">
                  <a16:creationId xmlns:a16="http://schemas.microsoft.com/office/drawing/2014/main" id="{434F858B-0357-7C1A-C2FD-8FFB2B8D5AA0}"/>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9494520" y="2552700"/>
              <a:ext cx="1828800" cy="23831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129540</xdr:colOff>
      <xdr:row>1</xdr:row>
      <xdr:rowOff>0</xdr:rowOff>
    </xdr:from>
    <xdr:to>
      <xdr:col>10</xdr:col>
      <xdr:colOff>716280</xdr:colOff>
      <xdr:row>18</xdr:row>
      <xdr:rowOff>213360</xdr:rowOff>
    </xdr:to>
    <xdr:graphicFrame macro="">
      <xdr:nvGraphicFramePr>
        <xdr:cNvPr id="2" name="Chart 1">
          <a:extLst>
            <a:ext uri="{FF2B5EF4-FFF2-40B4-BE49-F238E27FC236}">
              <a16:creationId xmlns:a16="http://schemas.microsoft.com/office/drawing/2014/main" id="{E4E752A7-957A-A67A-6049-743DFC9592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106680</xdr:colOff>
          <xdr:row>1</xdr:row>
          <xdr:rowOff>106680</xdr:rowOff>
        </xdr:from>
        <xdr:to>
          <xdr:col>6</xdr:col>
          <xdr:colOff>220980</xdr:colOff>
          <xdr:row>2</xdr:row>
          <xdr:rowOff>205740</xdr:rowOff>
        </xdr:to>
        <xdr:sp macro="" textlink="">
          <xdr:nvSpPr>
            <xdr:cNvPr id="6151" name="CommandButton1" hidden="1">
              <a:extLst>
                <a:ext uri="{63B3BB69-23CF-44E3-9099-C40C66FF867C}">
                  <a14:compatExt spid="_x0000_s6151"/>
                </a:ext>
                <a:ext uri="{FF2B5EF4-FFF2-40B4-BE49-F238E27FC236}">
                  <a16:creationId xmlns:a16="http://schemas.microsoft.com/office/drawing/2014/main" id="{00000000-0008-0000-0500-00000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 kumar" refreshedDate="46290.967947569443" createdVersion="8" refreshedVersion="8" minRefreshableVersion="3" recordCount="49" xr:uid="{2FDE50FE-7957-47EE-B383-986769CD9CBB}">
  <cacheSource type="worksheet">
    <worksheetSource ref="A1:N50" sheet="Task 3"/>
  </cacheSource>
  <cacheFields count="14">
    <cacheField name="Date" numFmtId="0">
      <sharedItems containsSemiMixedTypes="0" containsString="0" containsNumber="1" containsInteger="1" minValue="2023" maxValue="2025" count="3">
        <n v="2024"/>
        <n v="2023"/>
        <n v="2025"/>
      </sharedItems>
    </cacheField>
    <cacheField name="Region" numFmtId="0">
      <sharedItems count="5">
        <s v="East"/>
        <s v="South"/>
        <s v="North"/>
        <s v="Central"/>
        <s v="West"/>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ount="20">
        <n v="14"/>
        <n v="1"/>
        <n v="18"/>
        <n v="2"/>
        <n v="7"/>
        <n v="3"/>
        <n v="5"/>
        <n v="15"/>
        <n v="19"/>
        <n v="17"/>
        <n v="11"/>
        <n v="20"/>
        <n v="10"/>
        <n v="12"/>
        <n v="13"/>
        <n v="4"/>
        <n v="6"/>
        <n v="9"/>
        <n v="16"/>
        <n v="8"/>
      </sharedItems>
    </cacheField>
    <cacheField name="UnitPrice" numFmtId="0">
      <sharedItems containsSemiMixedTypes="0" containsString="0" containsNumber="1" minValue="17.5" maxValue="2000"/>
    </cacheField>
    <cacheField name="StoreLocation" numFmtId="0">
      <sharedItems count="4">
        <s v="Store B"/>
        <s v="Store A"/>
        <s v="Store C"/>
        <s v="Store D"/>
      </sharedItems>
    </cacheField>
    <cacheField name="CustomerType" numFmtId="0">
      <sharedItems count="2">
        <s v="Wholesale"/>
        <s v="Retail"/>
      </sharedItems>
    </cacheField>
    <cacheField name="Discount" numFmtId="0">
      <sharedItems containsSemiMixedTypes="0" containsString="0" containsNumber="1" minValue="0" maxValue="0.15"/>
    </cacheField>
    <cacheField name="Salesperson" numFmtId="0">
      <sharedItems count="6">
        <s v="Eva"/>
        <s v="Alice"/>
        <s v="Frank"/>
        <s v="Carlos"/>
        <s v="Diana"/>
        <s v="Bob"/>
      </sharedItems>
    </cacheField>
    <cacheField name="PaymentMethod" numFmtId="0">
      <sharedItems count="5">
        <s v="Online"/>
        <s v="Gift Card"/>
        <s v="Credit Card"/>
        <s v="Debit Card"/>
        <s v="Cash"/>
      </sharedItems>
    </cacheField>
    <cacheField name="OrderDate" numFmtId="164">
      <sharedItems containsSemiMixedTypes="0" containsNonDate="0" containsDate="1" containsString="0" minDate="2023-01-09T00:00:00" maxDate="2025-06-21T00:00:00"/>
    </cacheField>
    <cacheField name="DeliveryDate" numFmtId="164">
      <sharedItems containsSemiMixedTypes="0" containsNonDate="0" containsDate="1" containsString="0" minDate="2023-01-11T00:00:00" maxDate="2025-07-01T00:00:00" count="47">
        <d v="2023-02-27T00:00:00"/>
        <d v="2024-12-28T00:00:00"/>
        <d v="2023-05-19T00:00:00"/>
        <d v="2025-03-02T00:00:00"/>
        <d v="2023-06-27T00:00:00"/>
        <d v="2024-03-01T00:00:00"/>
        <d v="2023-01-14T00:00:00"/>
        <d v="2023-01-11T00:00:00"/>
        <d v="2024-10-18T00:00:00"/>
        <d v="2025-03-13T00:00:00"/>
        <d v="2024-04-17T00:00:00"/>
        <d v="2024-07-18T00:00:00"/>
        <d v="2023-07-31T00:00:00"/>
        <d v="2025-01-22T00:00:00"/>
        <d v="2024-12-15T00:00:00"/>
        <d v="2025-05-17T00:00:00"/>
        <d v="2023-03-04T00:00:00"/>
        <d v="2024-06-01T00:00:00"/>
        <d v="2023-12-08T00:00:00"/>
        <d v="2023-07-02T00:00:00"/>
        <d v="2025-06-08T00:00:00"/>
        <d v="2023-03-08T00:00:00"/>
        <d v="2024-02-22T00:00:00"/>
        <d v="2023-08-14T00:00:00"/>
        <d v="2024-05-30T00:00:00"/>
        <d v="2023-10-28T00:00:00"/>
        <d v="2025-06-25T00:00:00"/>
        <d v="2024-11-21T00:00:00"/>
        <d v="2023-05-17T00:00:00"/>
        <d v="2024-12-14T00:00:00"/>
        <d v="2024-02-15T00:00:00"/>
        <d v="2025-03-15T00:00:00"/>
        <d v="2023-04-11T00:00:00"/>
        <d v="2025-05-12T00:00:00"/>
        <d v="2023-09-11T00:00:00"/>
        <d v="2025-03-28T00:00:00"/>
        <d v="2025-06-30T00:00:00"/>
        <d v="2024-02-25T00:00:00"/>
        <d v="2023-06-17T00:00:00"/>
        <d v="2024-06-25T00:00:00"/>
        <d v="2023-07-26T00:00:00"/>
        <d v="2023-05-27T00:00:00"/>
        <d v="2023-07-04T00:00:00"/>
        <d v="2024-06-14T00:00:00"/>
        <d v="2025-02-05T00:00:00"/>
        <d v="2024-01-13T00:00:00"/>
        <d v="2024-03-16T00:00:00"/>
      </sharedItems>
    </cacheField>
    <cacheField name="RegionManager" numFmtId="0">
      <sharedItems count="5">
        <s v="Eric"/>
        <s v="Sophie"/>
        <s v="Ryan"/>
        <s v="Cameron"/>
        <s v="Wendy"/>
      </sharedItems>
    </cacheField>
    <cacheField name="Total sales" numFmtId="0">
      <sharedItems containsSemiMixedTypes="0" containsString="0" containsNumber="1" minValue="101.73" maxValue="28000"/>
    </cacheField>
  </cacheFields>
  <extLst>
    <ext xmlns:x14="http://schemas.microsoft.com/office/spreadsheetml/2009/9/main" uri="{725AE2AE-9491-48be-B2B4-4EB974FC3084}">
      <x14:pivotCacheDefinition pivotCacheId="6487378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x v="0"/>
    <x v="0"/>
    <x v="0"/>
    <x v="0"/>
    <n v="2000"/>
    <x v="0"/>
    <x v="0"/>
    <n v="0"/>
    <x v="0"/>
    <x v="0"/>
    <d v="2023-02-23T00:00:00"/>
    <x v="0"/>
    <x v="0"/>
    <n v="28000"/>
  </r>
  <r>
    <x v="0"/>
    <x v="1"/>
    <x v="1"/>
    <x v="1"/>
    <n v="544.01"/>
    <x v="1"/>
    <x v="1"/>
    <n v="0"/>
    <x v="1"/>
    <x v="1"/>
    <d v="2024-12-19T00:00:00"/>
    <x v="1"/>
    <x v="1"/>
    <n v="544.01"/>
  </r>
  <r>
    <x v="1"/>
    <x v="2"/>
    <x v="2"/>
    <x v="0"/>
    <n v="346.18"/>
    <x v="0"/>
    <x v="0"/>
    <n v="0.1"/>
    <x v="1"/>
    <x v="0"/>
    <d v="2023-05-10T00:00:00"/>
    <x v="2"/>
    <x v="2"/>
    <n v="4846.5200000000004"/>
  </r>
  <r>
    <x v="2"/>
    <x v="3"/>
    <x v="3"/>
    <x v="2"/>
    <n v="384.82"/>
    <x v="1"/>
    <x v="0"/>
    <n v="0.15"/>
    <x v="2"/>
    <x v="1"/>
    <d v="2025-02-26T00:00:00"/>
    <x v="3"/>
    <x v="3"/>
    <n v="6926.76"/>
  </r>
  <r>
    <x v="2"/>
    <x v="0"/>
    <x v="2"/>
    <x v="2"/>
    <n v="237.76"/>
    <x v="2"/>
    <x v="1"/>
    <n v="0"/>
    <x v="3"/>
    <x v="0"/>
    <d v="2023-06-24T00:00:00"/>
    <x v="4"/>
    <x v="0"/>
    <n v="4279.68"/>
  </r>
  <r>
    <x v="2"/>
    <x v="3"/>
    <x v="4"/>
    <x v="3"/>
    <n v="385.09"/>
    <x v="3"/>
    <x v="0"/>
    <n v="0.15"/>
    <x v="4"/>
    <x v="2"/>
    <d v="2024-02-20T00:00:00"/>
    <x v="5"/>
    <x v="3"/>
    <n v="770.18"/>
  </r>
  <r>
    <x v="2"/>
    <x v="1"/>
    <x v="3"/>
    <x v="4"/>
    <n v="17.5"/>
    <x v="2"/>
    <x v="1"/>
    <n v="0.1"/>
    <x v="1"/>
    <x v="3"/>
    <d v="2023-01-11T00:00:00"/>
    <x v="6"/>
    <x v="1"/>
    <n v="122.5"/>
  </r>
  <r>
    <x v="2"/>
    <x v="3"/>
    <x v="3"/>
    <x v="5"/>
    <n v="330.22"/>
    <x v="2"/>
    <x v="0"/>
    <n v="0.15"/>
    <x v="3"/>
    <x v="4"/>
    <d v="2023-01-09T00:00:00"/>
    <x v="7"/>
    <x v="3"/>
    <n v="990.66000000000008"/>
  </r>
  <r>
    <x v="2"/>
    <x v="1"/>
    <x v="3"/>
    <x v="5"/>
    <n v="432.04"/>
    <x v="3"/>
    <x v="0"/>
    <n v="0.05"/>
    <x v="5"/>
    <x v="3"/>
    <d v="2024-10-16T00:00:00"/>
    <x v="8"/>
    <x v="1"/>
    <n v="1296.1200000000001"/>
  </r>
  <r>
    <x v="2"/>
    <x v="4"/>
    <x v="2"/>
    <x v="6"/>
    <n v="323.27999999999997"/>
    <x v="3"/>
    <x v="1"/>
    <n v="0.1"/>
    <x v="2"/>
    <x v="1"/>
    <d v="2025-03-05T00:00:00"/>
    <x v="9"/>
    <x v="4"/>
    <n v="1616.3999999999999"/>
  </r>
  <r>
    <x v="0"/>
    <x v="2"/>
    <x v="2"/>
    <x v="7"/>
    <n v="523.29"/>
    <x v="0"/>
    <x v="0"/>
    <n v="0.15"/>
    <x v="0"/>
    <x v="3"/>
    <d v="2024-04-10T00:00:00"/>
    <x v="10"/>
    <x v="2"/>
    <n v="7849.3499999999995"/>
  </r>
  <r>
    <x v="1"/>
    <x v="0"/>
    <x v="1"/>
    <x v="8"/>
    <n v="207.35"/>
    <x v="3"/>
    <x v="1"/>
    <n v="0.1"/>
    <x v="0"/>
    <x v="1"/>
    <d v="2024-07-12T00:00:00"/>
    <x v="11"/>
    <x v="0"/>
    <n v="3939.65"/>
  </r>
  <r>
    <x v="0"/>
    <x v="3"/>
    <x v="1"/>
    <x v="1"/>
    <n v="120.53"/>
    <x v="0"/>
    <x v="1"/>
    <n v="0.05"/>
    <x v="4"/>
    <x v="4"/>
    <d v="2023-07-21T00:00:00"/>
    <x v="12"/>
    <x v="3"/>
    <n v="120.53"/>
  </r>
  <r>
    <x v="2"/>
    <x v="4"/>
    <x v="5"/>
    <x v="1"/>
    <n v="157.83000000000001"/>
    <x v="1"/>
    <x v="0"/>
    <n v="0.15"/>
    <x v="3"/>
    <x v="3"/>
    <d v="2025-01-18T00:00:00"/>
    <x v="13"/>
    <x v="4"/>
    <n v="157.83000000000001"/>
  </r>
  <r>
    <x v="0"/>
    <x v="2"/>
    <x v="2"/>
    <x v="7"/>
    <n v="220.3"/>
    <x v="0"/>
    <x v="1"/>
    <n v="0.15"/>
    <x v="4"/>
    <x v="3"/>
    <d v="2024-12-08T00:00:00"/>
    <x v="14"/>
    <x v="2"/>
    <n v="3304.5"/>
  </r>
  <r>
    <x v="0"/>
    <x v="4"/>
    <x v="3"/>
    <x v="9"/>
    <n v="162.96"/>
    <x v="1"/>
    <x v="0"/>
    <n v="0.05"/>
    <x v="0"/>
    <x v="1"/>
    <d v="2025-05-11T00:00:00"/>
    <x v="15"/>
    <x v="4"/>
    <n v="2770.32"/>
  </r>
  <r>
    <x v="2"/>
    <x v="4"/>
    <x v="0"/>
    <x v="8"/>
    <n v="236.11"/>
    <x v="3"/>
    <x v="0"/>
    <n v="0"/>
    <x v="5"/>
    <x v="0"/>
    <d v="2023-02-26T00:00:00"/>
    <x v="16"/>
    <x v="4"/>
    <n v="4486.09"/>
  </r>
  <r>
    <x v="1"/>
    <x v="3"/>
    <x v="2"/>
    <x v="10"/>
    <n v="573.14"/>
    <x v="3"/>
    <x v="1"/>
    <n v="0.05"/>
    <x v="4"/>
    <x v="4"/>
    <d v="2024-05-28T00:00:00"/>
    <x v="17"/>
    <x v="3"/>
    <n v="6304.54"/>
  </r>
  <r>
    <x v="1"/>
    <x v="0"/>
    <x v="1"/>
    <x v="11"/>
    <n v="519.04"/>
    <x v="0"/>
    <x v="1"/>
    <n v="0.15"/>
    <x v="3"/>
    <x v="1"/>
    <d v="2023-11-30T00:00:00"/>
    <x v="18"/>
    <x v="0"/>
    <n v="10380.799999999999"/>
  </r>
  <r>
    <x v="0"/>
    <x v="4"/>
    <x v="2"/>
    <x v="0"/>
    <n v="30.83"/>
    <x v="0"/>
    <x v="1"/>
    <n v="0"/>
    <x v="3"/>
    <x v="0"/>
    <d v="2023-06-22T00:00:00"/>
    <x v="19"/>
    <x v="4"/>
    <n v="431.62"/>
  </r>
  <r>
    <x v="2"/>
    <x v="4"/>
    <x v="1"/>
    <x v="12"/>
    <n v="319.05"/>
    <x v="3"/>
    <x v="0"/>
    <n v="0"/>
    <x v="4"/>
    <x v="0"/>
    <d v="2025-06-05T00:00:00"/>
    <x v="20"/>
    <x v="4"/>
    <n v="3190.5"/>
  </r>
  <r>
    <x v="0"/>
    <x v="3"/>
    <x v="3"/>
    <x v="0"/>
    <n v="312.79000000000002"/>
    <x v="1"/>
    <x v="1"/>
    <n v="0.05"/>
    <x v="5"/>
    <x v="0"/>
    <d v="2023-03-03T00:00:00"/>
    <x v="21"/>
    <x v="3"/>
    <n v="4379.0600000000004"/>
  </r>
  <r>
    <x v="0"/>
    <x v="2"/>
    <x v="0"/>
    <x v="0"/>
    <n v="395.45"/>
    <x v="2"/>
    <x v="1"/>
    <n v="0"/>
    <x v="3"/>
    <x v="4"/>
    <d v="2024-02-18T00:00:00"/>
    <x v="22"/>
    <x v="2"/>
    <n v="5536.3"/>
  </r>
  <r>
    <x v="2"/>
    <x v="3"/>
    <x v="0"/>
    <x v="13"/>
    <n v="472.72"/>
    <x v="3"/>
    <x v="1"/>
    <n v="0.15"/>
    <x v="4"/>
    <x v="2"/>
    <d v="2023-08-06T00:00:00"/>
    <x v="23"/>
    <x v="3"/>
    <n v="5672.64"/>
  </r>
  <r>
    <x v="1"/>
    <x v="2"/>
    <x v="2"/>
    <x v="6"/>
    <n v="288.01"/>
    <x v="1"/>
    <x v="0"/>
    <n v="0"/>
    <x v="0"/>
    <x v="2"/>
    <d v="2024-05-23T00:00:00"/>
    <x v="24"/>
    <x v="2"/>
    <n v="1440.05"/>
  </r>
  <r>
    <x v="1"/>
    <x v="0"/>
    <x v="1"/>
    <x v="14"/>
    <n v="562.29"/>
    <x v="3"/>
    <x v="1"/>
    <n v="0"/>
    <x v="4"/>
    <x v="1"/>
    <d v="2023-10-23T00:00:00"/>
    <x v="25"/>
    <x v="0"/>
    <n v="7309.7699999999995"/>
  </r>
  <r>
    <x v="0"/>
    <x v="4"/>
    <x v="1"/>
    <x v="1"/>
    <n v="101.73"/>
    <x v="3"/>
    <x v="1"/>
    <n v="0"/>
    <x v="2"/>
    <x v="3"/>
    <d v="2025-06-16T00:00:00"/>
    <x v="26"/>
    <x v="4"/>
    <n v="101.73"/>
  </r>
  <r>
    <x v="2"/>
    <x v="2"/>
    <x v="1"/>
    <x v="15"/>
    <n v="279.49"/>
    <x v="0"/>
    <x v="1"/>
    <n v="0"/>
    <x v="4"/>
    <x v="2"/>
    <d v="2023-03-03T00:00:00"/>
    <x v="21"/>
    <x v="2"/>
    <n v="1117.96"/>
  </r>
  <r>
    <x v="2"/>
    <x v="1"/>
    <x v="0"/>
    <x v="1"/>
    <n v="178.55"/>
    <x v="1"/>
    <x v="1"/>
    <n v="0.15"/>
    <x v="3"/>
    <x v="3"/>
    <d v="2024-11-18T00:00:00"/>
    <x v="27"/>
    <x v="1"/>
    <n v="178.55"/>
  </r>
  <r>
    <x v="0"/>
    <x v="3"/>
    <x v="5"/>
    <x v="1"/>
    <n v="472.07"/>
    <x v="1"/>
    <x v="0"/>
    <n v="0.1"/>
    <x v="3"/>
    <x v="0"/>
    <d v="2023-05-09T00:00:00"/>
    <x v="28"/>
    <x v="3"/>
    <n v="472.07"/>
  </r>
  <r>
    <x v="2"/>
    <x v="2"/>
    <x v="5"/>
    <x v="13"/>
    <n v="306.29000000000002"/>
    <x v="3"/>
    <x v="1"/>
    <n v="0"/>
    <x v="2"/>
    <x v="3"/>
    <d v="2024-12-07T00:00:00"/>
    <x v="29"/>
    <x v="2"/>
    <n v="3675.4800000000005"/>
  </r>
  <r>
    <x v="1"/>
    <x v="2"/>
    <x v="1"/>
    <x v="4"/>
    <n v="434.77"/>
    <x v="2"/>
    <x v="1"/>
    <n v="0.15"/>
    <x v="2"/>
    <x v="0"/>
    <d v="2024-02-13T00:00:00"/>
    <x v="30"/>
    <x v="2"/>
    <n v="3043.39"/>
  </r>
  <r>
    <x v="2"/>
    <x v="1"/>
    <x v="2"/>
    <x v="16"/>
    <n v="64.98"/>
    <x v="2"/>
    <x v="1"/>
    <n v="0"/>
    <x v="3"/>
    <x v="3"/>
    <d v="2025-03-09T00:00:00"/>
    <x v="31"/>
    <x v="1"/>
    <n v="389.88"/>
  </r>
  <r>
    <x v="2"/>
    <x v="3"/>
    <x v="2"/>
    <x v="9"/>
    <n v="476.49"/>
    <x v="3"/>
    <x v="1"/>
    <n v="0"/>
    <x v="1"/>
    <x v="1"/>
    <d v="2023-04-05T00:00:00"/>
    <x v="32"/>
    <x v="3"/>
    <n v="8100.33"/>
  </r>
  <r>
    <x v="1"/>
    <x v="2"/>
    <x v="4"/>
    <x v="15"/>
    <n v="559.72"/>
    <x v="3"/>
    <x v="1"/>
    <n v="0.15"/>
    <x v="4"/>
    <x v="0"/>
    <d v="2025-05-08T00:00:00"/>
    <x v="33"/>
    <x v="2"/>
    <n v="2238.88"/>
  </r>
  <r>
    <x v="0"/>
    <x v="2"/>
    <x v="5"/>
    <x v="0"/>
    <n v="82.14"/>
    <x v="2"/>
    <x v="1"/>
    <n v="0"/>
    <x v="1"/>
    <x v="2"/>
    <d v="2023-09-03T00:00:00"/>
    <x v="34"/>
    <x v="2"/>
    <n v="1149.96"/>
  </r>
  <r>
    <x v="2"/>
    <x v="3"/>
    <x v="3"/>
    <x v="17"/>
    <n v="343.21"/>
    <x v="1"/>
    <x v="1"/>
    <n v="0.05"/>
    <x v="3"/>
    <x v="3"/>
    <d v="2025-03-21T00:00:00"/>
    <x v="35"/>
    <x v="3"/>
    <n v="3088.89"/>
  </r>
  <r>
    <x v="2"/>
    <x v="1"/>
    <x v="3"/>
    <x v="4"/>
    <n v="301.01"/>
    <x v="0"/>
    <x v="1"/>
    <n v="0.15"/>
    <x v="4"/>
    <x v="4"/>
    <d v="2025-06-20T00:00:00"/>
    <x v="36"/>
    <x v="1"/>
    <n v="2107.0699999999997"/>
  </r>
  <r>
    <x v="2"/>
    <x v="3"/>
    <x v="6"/>
    <x v="0"/>
    <n v="428.13"/>
    <x v="2"/>
    <x v="1"/>
    <n v="0.1"/>
    <x v="5"/>
    <x v="4"/>
    <d v="2024-02-15T00:00:00"/>
    <x v="37"/>
    <x v="3"/>
    <n v="5993.82"/>
  </r>
  <r>
    <x v="1"/>
    <x v="3"/>
    <x v="0"/>
    <x v="3"/>
    <n v="503.28"/>
    <x v="3"/>
    <x v="1"/>
    <n v="0.15"/>
    <x v="1"/>
    <x v="1"/>
    <d v="2023-06-09T00:00:00"/>
    <x v="38"/>
    <x v="3"/>
    <n v="1006.56"/>
  </r>
  <r>
    <x v="1"/>
    <x v="1"/>
    <x v="6"/>
    <x v="6"/>
    <n v="470.32"/>
    <x v="1"/>
    <x v="1"/>
    <n v="0.1"/>
    <x v="0"/>
    <x v="3"/>
    <d v="2023-08-10T00:00:00"/>
    <x v="23"/>
    <x v="1"/>
    <n v="2351.6"/>
  </r>
  <r>
    <x v="0"/>
    <x v="3"/>
    <x v="6"/>
    <x v="11"/>
    <n v="65.17"/>
    <x v="2"/>
    <x v="0"/>
    <n v="0.05"/>
    <x v="0"/>
    <x v="1"/>
    <d v="2024-06-16T00:00:00"/>
    <x v="39"/>
    <x v="3"/>
    <n v="1303.4000000000001"/>
  </r>
  <r>
    <x v="2"/>
    <x v="1"/>
    <x v="0"/>
    <x v="13"/>
    <n v="36.17"/>
    <x v="1"/>
    <x v="1"/>
    <n v="0"/>
    <x v="0"/>
    <x v="0"/>
    <d v="2023-07-23T00:00:00"/>
    <x v="40"/>
    <x v="1"/>
    <n v="434.04"/>
  </r>
  <r>
    <x v="2"/>
    <x v="3"/>
    <x v="6"/>
    <x v="15"/>
    <n v="459.31"/>
    <x v="3"/>
    <x v="0"/>
    <n v="0.15"/>
    <x v="3"/>
    <x v="1"/>
    <d v="2023-05-20T00:00:00"/>
    <x v="41"/>
    <x v="3"/>
    <n v="1837.24"/>
  </r>
  <r>
    <x v="1"/>
    <x v="1"/>
    <x v="0"/>
    <x v="3"/>
    <n v="416.06"/>
    <x v="3"/>
    <x v="1"/>
    <n v="0.05"/>
    <x v="0"/>
    <x v="3"/>
    <d v="2023-06-30T00:00:00"/>
    <x v="42"/>
    <x v="1"/>
    <n v="832.12"/>
  </r>
  <r>
    <x v="1"/>
    <x v="1"/>
    <x v="5"/>
    <x v="18"/>
    <n v="302.58"/>
    <x v="3"/>
    <x v="1"/>
    <n v="0"/>
    <x v="1"/>
    <x v="0"/>
    <d v="2024-06-04T00:00:00"/>
    <x v="43"/>
    <x v="1"/>
    <n v="4841.28"/>
  </r>
  <r>
    <x v="2"/>
    <x v="4"/>
    <x v="3"/>
    <x v="10"/>
    <n v="33.130000000000003"/>
    <x v="1"/>
    <x v="1"/>
    <n v="0.15"/>
    <x v="2"/>
    <x v="0"/>
    <d v="2025-02-03T00:00:00"/>
    <x v="44"/>
    <x v="4"/>
    <n v="364.43"/>
  </r>
  <r>
    <x v="2"/>
    <x v="0"/>
    <x v="5"/>
    <x v="19"/>
    <n v="582.52"/>
    <x v="3"/>
    <x v="1"/>
    <n v="0.15"/>
    <x v="2"/>
    <x v="1"/>
    <d v="2024-01-09T00:00:00"/>
    <x v="45"/>
    <x v="0"/>
    <n v="4660.16"/>
  </r>
  <r>
    <x v="0"/>
    <x v="2"/>
    <x v="2"/>
    <x v="6"/>
    <n v="165.15"/>
    <x v="1"/>
    <x v="1"/>
    <n v="0.1"/>
    <x v="0"/>
    <x v="1"/>
    <d v="2024-03-14T00:00:00"/>
    <x v="46"/>
    <x v="2"/>
    <n v="825.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0CDF22-2470-4854-A070-33B83F70C77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D9" firstHeaderRow="0" firstDataRow="1" firstDataCol="1" rowPageCount="3" colPageCount="1"/>
  <pivotFields count="14">
    <pivotField showAll="0">
      <items count="4">
        <item x="1"/>
        <item x="0"/>
        <item x="2"/>
        <item t="default"/>
      </items>
    </pivotField>
    <pivotField axis="axisRow" showAll="0">
      <items count="6">
        <item h="1" x="3"/>
        <item h="1" x="0"/>
        <item h="1" x="2"/>
        <item x="1"/>
        <item h="1" x="4"/>
        <item t="default"/>
      </items>
    </pivotField>
    <pivotField axis="axisPage" showAll="0">
      <items count="8">
        <item x="3"/>
        <item x="2"/>
        <item x="0"/>
        <item x="4"/>
        <item x="1"/>
        <item x="6"/>
        <item x="5"/>
        <item t="default"/>
      </items>
    </pivotField>
    <pivotField showAll="0">
      <items count="21">
        <item x="1"/>
        <item x="3"/>
        <item x="5"/>
        <item x="15"/>
        <item x="6"/>
        <item x="16"/>
        <item x="4"/>
        <item x="19"/>
        <item x="17"/>
        <item x="12"/>
        <item x="10"/>
        <item x="13"/>
        <item x="14"/>
        <item x="0"/>
        <item x="7"/>
        <item x="18"/>
        <item x="9"/>
        <item x="2"/>
        <item x="8"/>
        <item x="11"/>
        <item t="default"/>
      </items>
    </pivotField>
    <pivotField dataField="1" showAll="0"/>
    <pivotField showAll="0">
      <items count="5">
        <item x="1"/>
        <item h="1" x="0"/>
        <item h="1" x="2"/>
        <item h="1" x="3"/>
        <item t="default"/>
      </items>
    </pivotField>
    <pivotField showAll="0">
      <items count="3">
        <item x="1"/>
        <item h="1" x="0"/>
        <item t="default"/>
      </items>
    </pivotField>
    <pivotField dataField="1" showAll="0"/>
    <pivotField axis="axisRow" showAll="0">
      <items count="7">
        <item h="1" x="1"/>
        <item h="1" x="5"/>
        <item x="3"/>
        <item h="1" x="4"/>
        <item h="1" x="0"/>
        <item h="1" x="2"/>
        <item t="default"/>
      </items>
    </pivotField>
    <pivotField axis="axisPage" showAll="0">
      <items count="6">
        <item x="4"/>
        <item x="2"/>
        <item x="3"/>
        <item x="1"/>
        <item x="0"/>
        <item t="default"/>
      </items>
    </pivotField>
    <pivotField numFmtId="164" showAll="0"/>
    <pivotField axis="axisPage" numFmtId="164" showAll="0">
      <items count="48">
        <item x="7"/>
        <item x="6"/>
        <item x="0"/>
        <item x="16"/>
        <item x="21"/>
        <item x="32"/>
        <item x="28"/>
        <item x="2"/>
        <item x="41"/>
        <item x="38"/>
        <item x="4"/>
        <item x="19"/>
        <item x="42"/>
        <item x="40"/>
        <item x="12"/>
        <item x="23"/>
        <item x="34"/>
        <item x="25"/>
        <item x="18"/>
        <item x="45"/>
        <item x="30"/>
        <item x="22"/>
        <item x="37"/>
        <item x="5"/>
        <item x="46"/>
        <item x="10"/>
        <item x="24"/>
        <item x="17"/>
        <item x="43"/>
        <item x="39"/>
        <item x="11"/>
        <item x="8"/>
        <item x="27"/>
        <item x="29"/>
        <item x="14"/>
        <item x="1"/>
        <item x="13"/>
        <item x="44"/>
        <item x="3"/>
        <item x="9"/>
        <item x="31"/>
        <item x="35"/>
        <item x="33"/>
        <item x="15"/>
        <item x="20"/>
        <item x="26"/>
        <item x="36"/>
        <item t="default"/>
      </items>
    </pivotField>
    <pivotField showAll="0">
      <items count="6">
        <item x="3"/>
        <item x="0"/>
        <item x="2"/>
        <item x="1"/>
        <item x="4"/>
        <item t="default"/>
      </items>
    </pivotField>
    <pivotField dataField="1" showAll="0"/>
  </pivotFields>
  <rowFields count="2">
    <field x="8"/>
    <field x="1"/>
  </rowFields>
  <rowItems count="3">
    <i>
      <x v="2"/>
    </i>
    <i r="1">
      <x v="3"/>
    </i>
    <i t="grand">
      <x/>
    </i>
  </rowItems>
  <colFields count="1">
    <field x="-2"/>
  </colFields>
  <colItems count="3">
    <i>
      <x/>
    </i>
    <i i="1">
      <x v="1"/>
    </i>
    <i i="2">
      <x v="2"/>
    </i>
  </colItems>
  <pageFields count="3">
    <pageField fld="2" item="2" hier="-1"/>
    <pageField fld="11" hier="-1"/>
    <pageField fld="9" item="2" hier="-1"/>
  </pageFields>
  <dataFields count="3">
    <dataField name="Sum of UnitPrice" fld="4" baseField="0" baseItem="0"/>
    <dataField name="Sum of Total sales" fld="13" baseField="0" baseItem="0"/>
    <dataField name="Sum of Disc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3F38A3-D497-48DC-A1A6-44FCCD54D41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rowPageCount="1" colPageCount="1"/>
  <pivotFields count="14">
    <pivotField showAll="0"/>
    <pivotField axis="axisPage" showAll="0">
      <items count="6">
        <item x="3"/>
        <item x="0"/>
        <item x="2"/>
        <item x="1"/>
        <item x="4"/>
        <item t="default"/>
      </items>
    </pivotField>
    <pivotField axis="axisRow" showAll="0">
      <items count="8">
        <item x="3"/>
        <item x="2"/>
        <item x="0"/>
        <item x="4"/>
        <item x="1"/>
        <item x="6"/>
        <item x="5"/>
        <item t="default"/>
      </items>
    </pivotField>
    <pivotField showAll="0"/>
    <pivotField showAll="0"/>
    <pivotField showAll="0"/>
    <pivotField showAll="0"/>
    <pivotField showAll="0"/>
    <pivotField showAll="0"/>
    <pivotField showAll="0"/>
    <pivotField numFmtId="164" showAll="0"/>
    <pivotField numFmtId="164" showAll="0"/>
    <pivotField showAll="0"/>
    <pivotField dataField="1" showAll="0"/>
  </pivotFields>
  <rowFields count="1">
    <field x="2"/>
  </rowFields>
  <rowItems count="7">
    <i>
      <x/>
    </i>
    <i>
      <x v="1"/>
    </i>
    <i>
      <x v="2"/>
    </i>
    <i>
      <x v="4"/>
    </i>
    <i>
      <x v="5"/>
    </i>
    <i>
      <x v="6"/>
    </i>
    <i t="grand">
      <x/>
    </i>
  </rowItems>
  <colItems count="1">
    <i/>
  </colItems>
  <pageFields count="1">
    <pageField fld="1" item="3" hier="-1"/>
  </pageFields>
  <dataFields count="1">
    <dataField name="Sum of Total sales" fld="13" baseField="0" baseItem="0"/>
  </dataFields>
  <chartFormats count="7">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 chart="0" format="7">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AF2D1A6-2A3F-46F6-886F-EDACA6F3E01E}" sourceName="Region">
  <pivotTables>
    <pivotTable tabId="5" name="PivotTable1"/>
  </pivotTables>
  <data>
    <tabular pivotCacheId="648737833">
      <items count="5">
        <i x="1" s="1"/>
        <i x="3" nd="1"/>
        <i x="0" nd="1"/>
        <i x="2" nd="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191909C-C586-42A6-A54F-C9AC0223CD38}" sourceName="Product">
  <pivotTables>
    <pivotTable tabId="5" name="PivotTable1"/>
  </pivotTables>
  <data>
    <tabular pivotCacheId="648737833">
      <items count="7">
        <i x="0" s="1"/>
        <i x="3" nd="1"/>
        <i x="2" nd="1"/>
        <i x="4" nd="1"/>
        <i x="1" nd="1"/>
        <i x="6" nd="1"/>
        <i x="5"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Location" xr10:uid="{A7D16FF6-3702-42E2-89EE-B563D04EE4AB}" sourceName="StoreLocation">
  <pivotTables>
    <pivotTable tabId="5" name="PivotTable1"/>
  </pivotTables>
  <data>
    <tabular pivotCacheId="648737833">
      <items count="4">
        <i x="1" s="1"/>
        <i x="0" nd="1"/>
        <i x="2" nd="1"/>
        <i x="3"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Type" xr10:uid="{A3AD732E-412C-40F7-AC87-3B26A3F3E3EB}" sourceName="CustomerType">
  <pivotTables>
    <pivotTable tabId="5" name="PivotTable1"/>
  </pivotTables>
  <data>
    <tabular pivotCacheId="648737833">
      <items count="2">
        <i x="1" s="1"/>
        <i x="0"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8C11B39A-E5E4-48A9-8968-5791143D0044}" sourceName="Salesperson">
  <pivotTables>
    <pivotTable tabId="5" name="PivotTable1"/>
  </pivotTables>
  <data>
    <tabular pivotCacheId="648737833">
      <items count="6">
        <i x="3" s="1"/>
        <i x="1" nd="1"/>
        <i x="5" nd="1"/>
        <i x="4" nd="1"/>
        <i x="0" nd="1"/>
        <i x="2"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1D26A900-6923-4759-ADFC-33AA7737FD34}" sourceName="PaymentMethod">
  <pivotTables>
    <pivotTable tabId="5" name="PivotTable1"/>
  </pivotTables>
  <data>
    <tabular pivotCacheId="648737833">
      <items count="5">
        <i x="3" s="1"/>
        <i x="4" nd="1"/>
        <i x="2" nd="1"/>
        <i x="1" nd="1"/>
        <i x="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708A51F-1228-46E5-B227-CC004C0DA786}" cache="Slicer_Region" caption="Region" rowHeight="298450"/>
  <slicer name="Product" xr10:uid="{467547B2-E886-437F-892C-1564FB7173B7}" cache="Slicer_Product" caption="Product" rowHeight="298450"/>
  <slicer name="StoreLocation" xr10:uid="{46247D15-43C4-4ACB-8600-76F55E3AD12B}" cache="Slicer_StoreLocation" caption="StoreLocation" rowHeight="298450"/>
  <slicer name="CustomerType" xr10:uid="{29B89459-B567-474B-8543-75AA0CE40ADD}" cache="Slicer_CustomerType" caption="CustomerType" rowHeight="298450"/>
  <slicer name="Salesperson" xr10:uid="{A1566DFE-FDB0-4C68-88EB-6BB4BDDB0EE3}" cache="Slicer_Salesperson" caption="Salesperson" rowHeight="298450"/>
  <slicer name="PaymentMethod" xr10:uid="{13CB6984-4D40-4645-8D69-B726176FAE49}" cache="Slicer_PaymentMethod" caption="PaymentMethod" rowHeight="2984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BCA347-4C43-4782-B587-5DA1368DD27E}" name="Year" displayName="Year" ref="A1:A13" totalsRowShown="0" headerRowDxfId="5" dataDxfId="6">
  <autoFilter ref="A1:A13" xr:uid="{2EBCA347-4C43-4782-B587-5DA1368DD27E}"/>
  <tableColumns count="1">
    <tableColumn id="1" xr3:uid="{7EA50A58-FEC8-408A-9435-4CFA3928B564}" name="Years" dataDxfId="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6D98FE3-64AB-430B-939F-A3710C3D56D7}" name="Holidays" displayName="Holidays" ref="G1:G19" totalsRowShown="0">
  <autoFilter ref="G1:G19" xr:uid="{16D98FE3-64AB-430B-939F-A3710C3D56D7}"/>
  <tableColumns count="1">
    <tableColumn id="1" xr3:uid="{3748BBEA-7D06-43F3-A6C3-F81EE1CDDF83}" name="Holiday"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control" Target="../activeX/activeX1.xml"/><Relationship Id="rId2" Type="http://schemas.openxmlformats.org/officeDocument/2006/relationships/vmlDrawing" Target="../drawings/vmlDrawing1.vml"/><Relationship Id="rId1" Type="http://schemas.openxmlformats.org/officeDocument/2006/relationships/drawing" Target="../drawings/drawing4.xml"/><Relationship Id="rId4" Type="http://schemas.openxmlformats.org/officeDocument/2006/relationships/image" Target="../media/image1.emf"/></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0E12B-972A-40A9-953C-C64BA2031B55}">
  <sheetPr codeName="Sheet2"/>
  <dimension ref="A1:L8"/>
  <sheetViews>
    <sheetView topLeftCell="B13" zoomScale="130" zoomScaleNormal="130" workbookViewId="0">
      <selection activeCell="I4" sqref="I4"/>
    </sheetView>
  </sheetViews>
  <sheetFormatPr defaultRowHeight="18" x14ac:dyDescent="0.35"/>
  <cols>
    <col min="1" max="1" width="8.6640625" style="1"/>
    <col min="2" max="2" width="10.58203125" style="1" customWidth="1"/>
    <col min="3" max="12" width="8.6640625" style="1"/>
  </cols>
  <sheetData>
    <row r="1" spans="1:12" ht="35.4" customHeight="1" x14ac:dyDescent="0.35">
      <c r="A1" s="38" t="s">
        <v>18</v>
      </c>
      <c r="B1" s="38"/>
      <c r="C1" s="38"/>
      <c r="D1" s="38"/>
      <c r="E1" s="38"/>
      <c r="F1" s="38"/>
      <c r="G1" s="38"/>
      <c r="H1" s="38"/>
      <c r="I1" s="38"/>
      <c r="J1" s="38"/>
      <c r="K1" s="38"/>
      <c r="L1" s="38"/>
    </row>
    <row r="2" spans="1:12" ht="28.2" customHeight="1" x14ac:dyDescent="0.35">
      <c r="A2" s="37" t="s">
        <v>0</v>
      </c>
      <c r="B2" s="37" t="s">
        <v>2</v>
      </c>
      <c r="C2" s="38" t="s">
        <v>1</v>
      </c>
      <c r="D2" s="38"/>
      <c r="E2" s="38"/>
      <c r="F2" s="38"/>
      <c r="G2" s="38"/>
      <c r="H2" s="37" t="s">
        <v>8</v>
      </c>
      <c r="I2" s="37" t="s">
        <v>9</v>
      </c>
      <c r="J2" s="37" t="s">
        <v>10</v>
      </c>
      <c r="K2" s="37" t="s">
        <v>11</v>
      </c>
      <c r="L2" s="37" t="s">
        <v>12</v>
      </c>
    </row>
    <row r="3" spans="1:12" ht="26.4" customHeight="1" x14ac:dyDescent="0.35">
      <c r="A3" s="37"/>
      <c r="B3" s="37"/>
      <c r="C3" s="2" t="s">
        <v>3</v>
      </c>
      <c r="D3" s="2" t="s">
        <v>4</v>
      </c>
      <c r="E3" s="2" t="s">
        <v>5</v>
      </c>
      <c r="F3" s="2" t="s">
        <v>6</v>
      </c>
      <c r="G3" s="2" t="s">
        <v>7</v>
      </c>
      <c r="H3" s="37"/>
      <c r="I3" s="37"/>
      <c r="J3" s="37"/>
      <c r="K3" s="37"/>
      <c r="L3" s="37"/>
    </row>
    <row r="4" spans="1:12" x14ac:dyDescent="0.35">
      <c r="A4" s="3">
        <v>1</v>
      </c>
      <c r="B4" s="4" t="s">
        <v>13</v>
      </c>
      <c r="C4" s="3">
        <v>64</v>
      </c>
      <c r="D4" s="3">
        <v>70</v>
      </c>
      <c r="E4" s="3">
        <v>54</v>
      </c>
      <c r="F4" s="3">
        <v>54</v>
      </c>
      <c r="G4" s="3">
        <v>100</v>
      </c>
      <c r="H4" s="3">
        <f>SUM(C4:G4)</f>
        <v>342</v>
      </c>
      <c r="I4" s="3">
        <f>AVERAGE(C4:G4)</f>
        <v>68.400000000000006</v>
      </c>
      <c r="J4" s="3" t="str">
        <f>IF(I4&gt;= 90,"A", IF(I4&gt;=80, "B", IF(I4 &gt;= 70, "C", IF(I4 &gt;= 50, "D", "Fail"))))</f>
        <v>D</v>
      </c>
      <c r="K4" s="3">
        <f>RANK(H4,H$4:H$8)</f>
        <v>3</v>
      </c>
      <c r="L4" s="3" t="str">
        <f>IF(AND( C4&gt;=35,D4&gt;=35,E4&gt;=35,F4&gt;=35,G4&gt;=35), "Pass","Fail")</f>
        <v>Pass</v>
      </c>
    </row>
    <row r="5" spans="1:12" x14ac:dyDescent="0.35">
      <c r="A5" s="3">
        <v>2</v>
      </c>
      <c r="B5" s="4" t="s">
        <v>14</v>
      </c>
      <c r="C5" s="3">
        <v>31</v>
      </c>
      <c r="D5" s="3">
        <v>59</v>
      </c>
      <c r="E5" s="3">
        <v>34</v>
      </c>
      <c r="F5" s="3">
        <v>95</v>
      </c>
      <c r="G5" s="3">
        <v>38</v>
      </c>
      <c r="H5" s="3">
        <f t="shared" ref="H5:H8" si="0">SUM(C5:G5)</f>
        <v>257</v>
      </c>
      <c r="I5" s="3">
        <f t="shared" ref="I5:I8" si="1">AVERAGE(C5:G5)</f>
        <v>51.4</v>
      </c>
      <c r="J5" s="3" t="str">
        <f t="shared" ref="J5:J8" si="2">IF(I5&gt;= 90,"A", IF(I5&gt;=80, "B", IF(I5 &gt;= 70, "C", IF(I5 &gt;= 50, "D", "Fail"))))</f>
        <v>D</v>
      </c>
      <c r="K5" s="3">
        <f t="shared" ref="K5:K8" si="3">RANK(H5,H$4:H$8)</f>
        <v>5</v>
      </c>
      <c r="L5" s="3" t="str">
        <f t="shared" ref="L5:L8" si="4">IF(AND( C5&gt;=35,D5&gt;=35,E5&gt;=35,F5&gt;=35,G5&gt;=35), "Pass","Fail")</f>
        <v>Fail</v>
      </c>
    </row>
    <row r="6" spans="1:12" x14ac:dyDescent="0.35">
      <c r="A6" s="3">
        <v>3</v>
      </c>
      <c r="B6" s="4" t="s">
        <v>15</v>
      </c>
      <c r="C6" s="3">
        <v>53</v>
      </c>
      <c r="D6" s="3">
        <v>81</v>
      </c>
      <c r="E6" s="3">
        <v>85</v>
      </c>
      <c r="F6" s="3">
        <v>30</v>
      </c>
      <c r="G6" s="3">
        <v>85</v>
      </c>
      <c r="H6" s="3">
        <f t="shared" si="0"/>
        <v>334</v>
      </c>
      <c r="I6" s="3">
        <f t="shared" si="1"/>
        <v>66.8</v>
      </c>
      <c r="J6" s="3" t="str">
        <f t="shared" si="2"/>
        <v>D</v>
      </c>
      <c r="K6" s="3">
        <f t="shared" si="3"/>
        <v>4</v>
      </c>
      <c r="L6" s="3" t="str">
        <f t="shared" si="4"/>
        <v>Fail</v>
      </c>
    </row>
    <row r="7" spans="1:12" x14ac:dyDescent="0.35">
      <c r="A7" s="3">
        <v>4</v>
      </c>
      <c r="B7" s="4" t="s">
        <v>16</v>
      </c>
      <c r="C7" s="3">
        <v>73</v>
      </c>
      <c r="D7" s="3">
        <v>49</v>
      </c>
      <c r="E7" s="3">
        <v>76</v>
      </c>
      <c r="F7" s="3">
        <v>71</v>
      </c>
      <c r="G7" s="3">
        <v>78</v>
      </c>
      <c r="H7" s="3">
        <f t="shared" si="0"/>
        <v>347</v>
      </c>
      <c r="I7" s="3">
        <f t="shared" si="1"/>
        <v>69.400000000000006</v>
      </c>
      <c r="J7" s="3" t="str">
        <f t="shared" si="2"/>
        <v>D</v>
      </c>
      <c r="K7" s="3">
        <f t="shared" si="3"/>
        <v>2</v>
      </c>
      <c r="L7" s="3" t="str">
        <f t="shared" si="4"/>
        <v>Pass</v>
      </c>
    </row>
    <row r="8" spans="1:12" x14ac:dyDescent="0.35">
      <c r="A8" s="3">
        <v>5</v>
      </c>
      <c r="B8" s="4" t="s">
        <v>17</v>
      </c>
      <c r="C8" s="3">
        <v>91</v>
      </c>
      <c r="D8" s="3">
        <v>85</v>
      </c>
      <c r="E8" s="3">
        <v>58</v>
      </c>
      <c r="F8" s="3">
        <v>49</v>
      </c>
      <c r="G8" s="3">
        <v>80</v>
      </c>
      <c r="H8" s="3">
        <f t="shared" si="0"/>
        <v>363</v>
      </c>
      <c r="I8" s="3">
        <f t="shared" si="1"/>
        <v>72.599999999999994</v>
      </c>
      <c r="J8" s="3" t="str">
        <f t="shared" si="2"/>
        <v>C</v>
      </c>
      <c r="K8" s="3">
        <f t="shared" si="3"/>
        <v>1</v>
      </c>
      <c r="L8" s="3" t="str">
        <f t="shared" si="4"/>
        <v>Pass</v>
      </c>
    </row>
  </sheetData>
  <mergeCells count="9">
    <mergeCell ref="A2:A3"/>
    <mergeCell ref="B2:B3"/>
    <mergeCell ref="C2:G2"/>
    <mergeCell ref="A1:L1"/>
    <mergeCell ref="H2:H3"/>
    <mergeCell ref="I2:I3"/>
    <mergeCell ref="J2:J3"/>
    <mergeCell ref="K2:K3"/>
    <mergeCell ref="L2:L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CEBBF-AF0D-454E-AADB-6DF00E7846E7}">
  <sheetPr codeName="Sheet3"/>
  <dimension ref="A2:D9"/>
  <sheetViews>
    <sheetView workbookViewId="0">
      <selection activeCell="B14" sqref="B14"/>
    </sheetView>
  </sheetViews>
  <sheetFormatPr defaultRowHeight="18" x14ac:dyDescent="0.35"/>
  <cols>
    <col min="1" max="1" width="13.9140625" bestFit="1" customWidth="1"/>
    <col min="2" max="2" width="14.1640625" bestFit="1" customWidth="1"/>
    <col min="3" max="3" width="15.08203125" bestFit="1" customWidth="1"/>
    <col min="4" max="6" width="13.75" bestFit="1" customWidth="1"/>
    <col min="7" max="7" width="6.4140625" bestFit="1" customWidth="1"/>
    <col min="8" max="8" width="18.25" bestFit="1" customWidth="1"/>
    <col min="9" max="9" width="19.58203125" bestFit="1" customWidth="1"/>
    <col min="10" max="10" width="18.25" bestFit="1" customWidth="1"/>
  </cols>
  <sheetData>
    <row r="2" spans="1:4" x14ac:dyDescent="0.35">
      <c r="A2" s="28" t="s">
        <v>43</v>
      </c>
      <c r="B2" t="s">
        <v>55</v>
      </c>
    </row>
    <row r="3" spans="1:4" x14ac:dyDescent="0.35">
      <c r="A3" s="28" t="s">
        <v>52</v>
      </c>
      <c r="B3" t="s">
        <v>100</v>
      </c>
    </row>
    <row r="4" spans="1:4" x14ac:dyDescent="0.35">
      <c r="A4" s="28" t="s">
        <v>50</v>
      </c>
      <c r="B4" t="s">
        <v>81</v>
      </c>
    </row>
    <row r="6" spans="1:4" x14ac:dyDescent="0.35">
      <c r="A6" s="28" t="s">
        <v>98</v>
      </c>
      <c r="B6" t="s">
        <v>103</v>
      </c>
      <c r="C6" t="s">
        <v>101</v>
      </c>
      <c r="D6" t="s">
        <v>102</v>
      </c>
    </row>
    <row r="7" spans="1:4" x14ac:dyDescent="0.35">
      <c r="A7" s="29" t="s">
        <v>76</v>
      </c>
      <c r="B7">
        <v>178.55</v>
      </c>
      <c r="C7">
        <v>178.55</v>
      </c>
      <c r="D7">
        <v>0.15</v>
      </c>
    </row>
    <row r="8" spans="1:4" x14ac:dyDescent="0.35">
      <c r="A8" s="30" t="s">
        <v>61</v>
      </c>
      <c r="B8">
        <v>178.55</v>
      </c>
      <c r="C8">
        <v>178.55</v>
      </c>
      <c r="D8">
        <v>0.15</v>
      </c>
    </row>
    <row r="9" spans="1:4" x14ac:dyDescent="0.35">
      <c r="A9" s="29" t="s">
        <v>99</v>
      </c>
      <c r="B9">
        <v>178.55</v>
      </c>
      <c r="C9">
        <v>178.55</v>
      </c>
      <c r="D9">
        <v>0.15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54C92-FCF0-4D8D-A29C-7A9EEB7CBDEB}">
  <sheetPr codeName="Sheet4"/>
  <dimension ref="A1:B10"/>
  <sheetViews>
    <sheetView workbookViewId="0">
      <selection activeCell="B4" sqref="B4"/>
    </sheetView>
  </sheetViews>
  <sheetFormatPr defaultRowHeight="18" x14ac:dyDescent="0.35"/>
  <cols>
    <col min="1" max="1" width="11.33203125" bestFit="1" customWidth="1"/>
    <col min="2" max="2" width="15.08203125" bestFit="1" customWidth="1"/>
  </cols>
  <sheetData>
    <row r="1" spans="1:2" x14ac:dyDescent="0.35">
      <c r="A1" s="28" t="s">
        <v>42</v>
      </c>
      <c r="B1" t="s">
        <v>61</v>
      </c>
    </row>
    <row r="3" spans="1:2" x14ac:dyDescent="0.35">
      <c r="A3" s="28" t="s">
        <v>98</v>
      </c>
      <c r="B3" t="s">
        <v>101</v>
      </c>
    </row>
    <row r="4" spans="1:2" x14ac:dyDescent="0.35">
      <c r="A4" s="29" t="s">
        <v>72</v>
      </c>
      <c r="B4">
        <v>3525.6899999999996</v>
      </c>
    </row>
    <row r="5" spans="1:2" x14ac:dyDescent="0.35">
      <c r="A5" s="29" t="s">
        <v>69</v>
      </c>
      <c r="B5">
        <v>389.88</v>
      </c>
    </row>
    <row r="6" spans="1:2" x14ac:dyDescent="0.35">
      <c r="A6" s="29" t="s">
        <v>55</v>
      </c>
      <c r="B6">
        <v>1444.71</v>
      </c>
    </row>
    <row r="7" spans="1:2" x14ac:dyDescent="0.35">
      <c r="A7" s="29" t="s">
        <v>62</v>
      </c>
      <c r="B7">
        <v>544.01</v>
      </c>
    </row>
    <row r="8" spans="1:2" x14ac:dyDescent="0.35">
      <c r="A8" s="29" t="s">
        <v>87</v>
      </c>
      <c r="B8">
        <v>2351.6</v>
      </c>
    </row>
    <row r="9" spans="1:2" x14ac:dyDescent="0.35">
      <c r="A9" s="29" t="s">
        <v>86</v>
      </c>
      <c r="B9">
        <v>4841.28</v>
      </c>
    </row>
    <row r="10" spans="1:2" x14ac:dyDescent="0.35">
      <c r="A10" s="29" t="s">
        <v>99</v>
      </c>
      <c r="B10">
        <v>13097.169999999998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D969E-335E-4BAE-AA07-B8473F045CD1}">
  <sheetPr codeName="Sheet5"/>
  <dimension ref="A1:N109"/>
  <sheetViews>
    <sheetView topLeftCell="A59" workbookViewId="0">
      <selection activeCell="G66" sqref="G66"/>
    </sheetView>
  </sheetViews>
  <sheetFormatPr defaultRowHeight="18" x14ac:dyDescent="0.35"/>
  <cols>
    <col min="1" max="3" width="13.4140625" bestFit="1" customWidth="1"/>
    <col min="4" max="4" width="12.6640625" customWidth="1"/>
    <col min="5" max="5" width="18.9140625" bestFit="1" customWidth="1"/>
    <col min="6" max="7" width="13.75" bestFit="1" customWidth="1"/>
    <col min="8" max="9" width="13.4140625" bestFit="1" customWidth="1"/>
    <col min="10" max="10" width="14.75" customWidth="1"/>
    <col min="12" max="12" width="8.75" bestFit="1" customWidth="1"/>
    <col min="13" max="13" width="10.75" bestFit="1" customWidth="1"/>
  </cols>
  <sheetData>
    <row r="1" spans="1:14" x14ac:dyDescent="0.35">
      <c r="A1" s="8" t="s">
        <v>41</v>
      </c>
      <c r="B1" s="8" t="s">
        <v>42</v>
      </c>
      <c r="C1" s="8" t="s">
        <v>43</v>
      </c>
      <c r="D1" s="8" t="s">
        <v>44</v>
      </c>
      <c r="E1" s="8" t="s">
        <v>45</v>
      </c>
      <c r="F1" s="8" t="s">
        <v>46</v>
      </c>
      <c r="G1" s="8" t="s">
        <v>47</v>
      </c>
      <c r="H1" s="8" t="s">
        <v>48</v>
      </c>
      <c r="I1" s="8" t="s">
        <v>49</v>
      </c>
      <c r="J1" s="8" t="s">
        <v>50</v>
      </c>
      <c r="K1" s="8" t="s">
        <v>51</v>
      </c>
      <c r="L1" s="8" t="s">
        <v>52</v>
      </c>
      <c r="M1" s="8" t="s">
        <v>53</v>
      </c>
      <c r="N1" s="10" t="s">
        <v>88</v>
      </c>
    </row>
    <row r="2" spans="1:14" x14ac:dyDescent="0.35">
      <c r="A2" s="7">
        <v>2024</v>
      </c>
      <c r="B2" s="7" t="s">
        <v>54</v>
      </c>
      <c r="C2" s="7" t="s">
        <v>55</v>
      </c>
      <c r="D2" s="7">
        <v>14</v>
      </c>
      <c r="E2" s="7">
        <v>2000</v>
      </c>
      <c r="F2" s="7" t="s">
        <v>56</v>
      </c>
      <c r="G2" s="7" t="s">
        <v>57</v>
      </c>
      <c r="H2" s="7">
        <v>0</v>
      </c>
      <c r="I2" s="7" t="s">
        <v>58</v>
      </c>
      <c r="J2" s="7" t="s">
        <v>59</v>
      </c>
      <c r="K2" s="9">
        <v>44980</v>
      </c>
      <c r="L2" s="9">
        <v>44984</v>
      </c>
      <c r="M2" s="7" t="s">
        <v>60</v>
      </c>
      <c r="N2">
        <f>PRODUCT(D2,E2)</f>
        <v>28000</v>
      </c>
    </row>
    <row r="3" spans="1:14" x14ac:dyDescent="0.35">
      <c r="A3" s="7">
        <v>2024</v>
      </c>
      <c r="B3" s="7" t="s">
        <v>61</v>
      </c>
      <c r="C3" s="7" t="s">
        <v>62</v>
      </c>
      <c r="D3" s="7">
        <v>1</v>
      </c>
      <c r="E3" s="7">
        <v>544.01</v>
      </c>
      <c r="F3" s="7" t="s">
        <v>63</v>
      </c>
      <c r="G3" s="7" t="s">
        <v>64</v>
      </c>
      <c r="H3" s="7">
        <v>0</v>
      </c>
      <c r="I3" s="7" t="s">
        <v>65</v>
      </c>
      <c r="J3" s="7" t="s">
        <v>66</v>
      </c>
      <c r="K3" s="9">
        <v>45645</v>
      </c>
      <c r="L3" s="9">
        <v>45654</v>
      </c>
      <c r="M3" s="7" t="s">
        <v>67</v>
      </c>
      <c r="N3">
        <f t="shared" ref="N3:N50" si="0">PRODUCT(D3,E3)</f>
        <v>544.01</v>
      </c>
    </row>
    <row r="4" spans="1:14" x14ac:dyDescent="0.35">
      <c r="A4" s="7">
        <v>2023</v>
      </c>
      <c r="B4" s="7" t="s">
        <v>68</v>
      </c>
      <c r="C4" s="7" t="s">
        <v>69</v>
      </c>
      <c r="D4" s="7">
        <v>14</v>
      </c>
      <c r="E4" s="7">
        <v>346.18</v>
      </c>
      <c r="F4" s="7" t="s">
        <v>56</v>
      </c>
      <c r="G4" s="7" t="s">
        <v>57</v>
      </c>
      <c r="H4" s="7">
        <v>0.1</v>
      </c>
      <c r="I4" s="7" t="s">
        <v>65</v>
      </c>
      <c r="J4" s="7" t="s">
        <v>59</v>
      </c>
      <c r="K4" s="9">
        <v>45056</v>
      </c>
      <c r="L4" s="9">
        <v>45065</v>
      </c>
      <c r="M4" s="7" t="s">
        <v>70</v>
      </c>
      <c r="N4">
        <f t="shared" si="0"/>
        <v>4846.5200000000004</v>
      </c>
    </row>
    <row r="5" spans="1:14" x14ac:dyDescent="0.35">
      <c r="A5" s="7">
        <v>2025</v>
      </c>
      <c r="B5" s="7" t="s">
        <v>71</v>
      </c>
      <c r="C5" s="7" t="s">
        <v>72</v>
      </c>
      <c r="D5" s="7">
        <v>18</v>
      </c>
      <c r="E5" s="7">
        <v>384.82</v>
      </c>
      <c r="F5" s="7" t="s">
        <v>63</v>
      </c>
      <c r="G5" s="7" t="s">
        <v>57</v>
      </c>
      <c r="H5" s="7">
        <v>0.15</v>
      </c>
      <c r="I5" s="7" t="s">
        <v>73</v>
      </c>
      <c r="J5" s="7" t="s">
        <v>66</v>
      </c>
      <c r="K5" s="9">
        <v>45714</v>
      </c>
      <c r="L5" s="9">
        <v>45718</v>
      </c>
      <c r="M5" s="7" t="s">
        <v>74</v>
      </c>
      <c r="N5">
        <f t="shared" si="0"/>
        <v>6926.76</v>
      </c>
    </row>
    <row r="6" spans="1:14" x14ac:dyDescent="0.35">
      <c r="A6" s="7">
        <v>2025</v>
      </c>
      <c r="B6" s="7" t="s">
        <v>54</v>
      </c>
      <c r="C6" s="7" t="s">
        <v>69</v>
      </c>
      <c r="D6" s="7">
        <v>18</v>
      </c>
      <c r="E6" s="7">
        <v>237.76</v>
      </c>
      <c r="F6" s="7" t="s">
        <v>75</v>
      </c>
      <c r="G6" s="7" t="s">
        <v>64</v>
      </c>
      <c r="H6" s="7">
        <v>0</v>
      </c>
      <c r="I6" s="7" t="s">
        <v>76</v>
      </c>
      <c r="J6" s="7" t="s">
        <v>59</v>
      </c>
      <c r="K6" s="9">
        <v>45101</v>
      </c>
      <c r="L6" s="9">
        <v>45104</v>
      </c>
      <c r="M6" s="7" t="s">
        <v>60</v>
      </c>
      <c r="N6">
        <f t="shared" si="0"/>
        <v>4279.68</v>
      </c>
    </row>
    <row r="7" spans="1:14" x14ac:dyDescent="0.35">
      <c r="A7" s="7">
        <v>2025</v>
      </c>
      <c r="B7" s="7" t="s">
        <v>71</v>
      </c>
      <c r="C7" s="7" t="s">
        <v>77</v>
      </c>
      <c r="D7" s="7">
        <v>2</v>
      </c>
      <c r="E7" s="7">
        <v>385.09</v>
      </c>
      <c r="F7" s="7" t="s">
        <v>78</v>
      </c>
      <c r="G7" s="7" t="s">
        <v>57</v>
      </c>
      <c r="H7" s="7">
        <v>0.15</v>
      </c>
      <c r="I7" s="7" t="s">
        <v>79</v>
      </c>
      <c r="J7" s="7" t="s">
        <v>80</v>
      </c>
      <c r="K7" s="9">
        <v>45342</v>
      </c>
      <c r="L7" s="9">
        <v>45352</v>
      </c>
      <c r="M7" s="7" t="s">
        <v>74</v>
      </c>
      <c r="N7">
        <f t="shared" si="0"/>
        <v>770.18</v>
      </c>
    </row>
    <row r="8" spans="1:14" x14ac:dyDescent="0.35">
      <c r="A8" s="7">
        <v>2025</v>
      </c>
      <c r="B8" s="7" t="s">
        <v>61</v>
      </c>
      <c r="C8" s="7" t="s">
        <v>72</v>
      </c>
      <c r="D8" s="7">
        <v>7</v>
      </c>
      <c r="E8" s="7">
        <v>17.5</v>
      </c>
      <c r="F8" s="7" t="s">
        <v>75</v>
      </c>
      <c r="G8" s="7" t="s">
        <v>64</v>
      </c>
      <c r="H8" s="7">
        <v>0.1</v>
      </c>
      <c r="I8" s="7" t="s">
        <v>65</v>
      </c>
      <c r="J8" s="7" t="s">
        <v>81</v>
      </c>
      <c r="K8" s="9">
        <v>44937</v>
      </c>
      <c r="L8" s="9">
        <v>44940</v>
      </c>
      <c r="M8" s="7" t="s">
        <v>67</v>
      </c>
      <c r="N8">
        <f t="shared" si="0"/>
        <v>122.5</v>
      </c>
    </row>
    <row r="9" spans="1:14" x14ac:dyDescent="0.35">
      <c r="A9" s="7">
        <v>2025</v>
      </c>
      <c r="B9" s="7" t="s">
        <v>71</v>
      </c>
      <c r="C9" s="7" t="s">
        <v>72</v>
      </c>
      <c r="D9" s="7">
        <v>3</v>
      </c>
      <c r="E9" s="7">
        <v>330.22</v>
      </c>
      <c r="F9" s="7" t="s">
        <v>75</v>
      </c>
      <c r="G9" s="7" t="s">
        <v>57</v>
      </c>
      <c r="H9" s="7">
        <v>0.15</v>
      </c>
      <c r="I9" s="7" t="s">
        <v>76</v>
      </c>
      <c r="J9" s="7" t="s">
        <v>82</v>
      </c>
      <c r="K9" s="9">
        <v>44935</v>
      </c>
      <c r="L9" s="9">
        <v>44937</v>
      </c>
      <c r="M9" s="7" t="s">
        <v>74</v>
      </c>
      <c r="N9">
        <f t="shared" si="0"/>
        <v>990.66000000000008</v>
      </c>
    </row>
    <row r="10" spans="1:14" x14ac:dyDescent="0.35">
      <c r="A10" s="7">
        <v>2025</v>
      </c>
      <c r="B10" s="7" t="s">
        <v>61</v>
      </c>
      <c r="C10" s="7" t="s">
        <v>72</v>
      </c>
      <c r="D10" s="7">
        <v>3</v>
      </c>
      <c r="E10" s="7">
        <v>432.04</v>
      </c>
      <c r="F10" s="7" t="s">
        <v>78</v>
      </c>
      <c r="G10" s="7" t="s">
        <v>57</v>
      </c>
      <c r="H10" s="7">
        <v>0.05</v>
      </c>
      <c r="I10" s="7" t="s">
        <v>83</v>
      </c>
      <c r="J10" s="7" t="s">
        <v>81</v>
      </c>
      <c r="K10" s="9">
        <v>45581</v>
      </c>
      <c r="L10" s="9">
        <v>45583</v>
      </c>
      <c r="M10" s="7" t="s">
        <v>67</v>
      </c>
      <c r="N10">
        <f t="shared" si="0"/>
        <v>1296.1200000000001</v>
      </c>
    </row>
    <row r="11" spans="1:14" x14ac:dyDescent="0.35">
      <c r="A11" s="7">
        <v>2025</v>
      </c>
      <c r="B11" s="7" t="s">
        <v>84</v>
      </c>
      <c r="C11" s="7" t="s">
        <v>69</v>
      </c>
      <c r="D11" s="7">
        <v>5</v>
      </c>
      <c r="E11" s="7">
        <v>323.27999999999997</v>
      </c>
      <c r="F11" s="7" t="s">
        <v>78</v>
      </c>
      <c r="G11" s="7" t="s">
        <v>64</v>
      </c>
      <c r="H11" s="7">
        <v>0.1</v>
      </c>
      <c r="I11" s="7" t="s">
        <v>73</v>
      </c>
      <c r="J11" s="7" t="s">
        <v>66</v>
      </c>
      <c r="K11" s="9">
        <v>45721</v>
      </c>
      <c r="L11" s="9">
        <v>45729</v>
      </c>
      <c r="M11" s="7" t="s">
        <v>85</v>
      </c>
      <c r="N11">
        <f t="shared" si="0"/>
        <v>1616.3999999999999</v>
      </c>
    </row>
    <row r="12" spans="1:14" x14ac:dyDescent="0.35">
      <c r="A12" s="7">
        <v>2024</v>
      </c>
      <c r="B12" s="7" t="s">
        <v>68</v>
      </c>
      <c r="C12" s="7" t="s">
        <v>69</v>
      </c>
      <c r="D12" s="7">
        <v>15</v>
      </c>
      <c r="E12" s="7">
        <v>523.29</v>
      </c>
      <c r="F12" s="7" t="s">
        <v>56</v>
      </c>
      <c r="G12" s="7" t="s">
        <v>57</v>
      </c>
      <c r="H12" s="7">
        <v>0.15</v>
      </c>
      <c r="I12" s="7" t="s">
        <v>58</v>
      </c>
      <c r="J12" s="7" t="s">
        <v>81</v>
      </c>
      <c r="K12" s="9">
        <v>45392</v>
      </c>
      <c r="L12" s="9">
        <v>45399</v>
      </c>
      <c r="M12" s="7" t="s">
        <v>70</v>
      </c>
      <c r="N12">
        <f t="shared" si="0"/>
        <v>7849.3499999999995</v>
      </c>
    </row>
    <row r="13" spans="1:14" x14ac:dyDescent="0.35">
      <c r="A13" s="7">
        <v>2023</v>
      </c>
      <c r="B13" s="7" t="s">
        <v>54</v>
      </c>
      <c r="C13" s="7" t="s">
        <v>62</v>
      </c>
      <c r="D13" s="7">
        <v>19</v>
      </c>
      <c r="E13" s="7">
        <v>207.35</v>
      </c>
      <c r="F13" s="7" t="s">
        <v>78</v>
      </c>
      <c r="G13" s="7" t="s">
        <v>64</v>
      </c>
      <c r="H13" s="7">
        <v>0.1</v>
      </c>
      <c r="I13" s="7" t="s">
        <v>58</v>
      </c>
      <c r="J13" s="7" t="s">
        <v>66</v>
      </c>
      <c r="K13" s="9">
        <v>45485</v>
      </c>
      <c r="L13" s="9">
        <v>45491</v>
      </c>
      <c r="M13" s="7" t="s">
        <v>60</v>
      </c>
      <c r="N13">
        <f t="shared" si="0"/>
        <v>3939.65</v>
      </c>
    </row>
    <row r="14" spans="1:14" x14ac:dyDescent="0.35">
      <c r="A14" s="7">
        <v>2024</v>
      </c>
      <c r="B14" s="7" t="s">
        <v>71</v>
      </c>
      <c r="C14" s="7" t="s">
        <v>62</v>
      </c>
      <c r="D14" s="7">
        <v>1</v>
      </c>
      <c r="E14" s="7">
        <v>120.53</v>
      </c>
      <c r="F14" s="7" t="s">
        <v>56</v>
      </c>
      <c r="G14" s="7" t="s">
        <v>64</v>
      </c>
      <c r="H14" s="7">
        <v>0.05</v>
      </c>
      <c r="I14" s="7" t="s">
        <v>79</v>
      </c>
      <c r="J14" s="7" t="s">
        <v>82</v>
      </c>
      <c r="K14" s="9">
        <v>45128</v>
      </c>
      <c r="L14" s="9">
        <v>45138</v>
      </c>
      <c r="M14" s="7" t="s">
        <v>74</v>
      </c>
      <c r="N14">
        <f t="shared" si="0"/>
        <v>120.53</v>
      </c>
    </row>
    <row r="15" spans="1:14" x14ac:dyDescent="0.35">
      <c r="A15" s="7">
        <v>2025</v>
      </c>
      <c r="B15" s="7" t="s">
        <v>84</v>
      </c>
      <c r="C15" s="7" t="s">
        <v>86</v>
      </c>
      <c r="D15" s="7">
        <v>1</v>
      </c>
      <c r="E15" s="7">
        <v>157.83000000000001</v>
      </c>
      <c r="F15" s="7" t="s">
        <v>63</v>
      </c>
      <c r="G15" s="7" t="s">
        <v>57</v>
      </c>
      <c r="H15" s="7">
        <v>0.15</v>
      </c>
      <c r="I15" s="7" t="s">
        <v>76</v>
      </c>
      <c r="J15" s="7" t="s">
        <v>81</v>
      </c>
      <c r="K15" s="9">
        <v>45675</v>
      </c>
      <c r="L15" s="9">
        <v>45679</v>
      </c>
      <c r="M15" s="7" t="s">
        <v>85</v>
      </c>
      <c r="N15">
        <f t="shared" si="0"/>
        <v>157.83000000000001</v>
      </c>
    </row>
    <row r="16" spans="1:14" x14ac:dyDescent="0.35">
      <c r="A16" s="7">
        <v>2024</v>
      </c>
      <c r="B16" s="7" t="s">
        <v>68</v>
      </c>
      <c r="C16" s="7" t="s">
        <v>69</v>
      </c>
      <c r="D16" s="7">
        <v>15</v>
      </c>
      <c r="E16" s="7">
        <v>220.3</v>
      </c>
      <c r="F16" s="7" t="s">
        <v>56</v>
      </c>
      <c r="G16" s="7" t="s">
        <v>64</v>
      </c>
      <c r="H16" s="7">
        <v>0.15</v>
      </c>
      <c r="I16" s="7" t="s">
        <v>79</v>
      </c>
      <c r="J16" s="7" t="s">
        <v>81</v>
      </c>
      <c r="K16" s="9">
        <v>45634</v>
      </c>
      <c r="L16" s="9">
        <v>45641</v>
      </c>
      <c r="M16" s="7" t="s">
        <v>70</v>
      </c>
      <c r="N16">
        <f t="shared" si="0"/>
        <v>3304.5</v>
      </c>
    </row>
    <row r="17" spans="1:14" x14ac:dyDescent="0.35">
      <c r="A17" s="7">
        <v>2024</v>
      </c>
      <c r="B17" s="7" t="s">
        <v>84</v>
      </c>
      <c r="C17" s="7" t="s">
        <v>72</v>
      </c>
      <c r="D17" s="7">
        <v>17</v>
      </c>
      <c r="E17" s="7">
        <v>162.96</v>
      </c>
      <c r="F17" s="7" t="s">
        <v>63</v>
      </c>
      <c r="G17" s="7" t="s">
        <v>57</v>
      </c>
      <c r="H17" s="7">
        <v>0.05</v>
      </c>
      <c r="I17" s="7" t="s">
        <v>58</v>
      </c>
      <c r="J17" s="7" t="s">
        <v>66</v>
      </c>
      <c r="K17" s="9">
        <v>45788</v>
      </c>
      <c r="L17" s="9">
        <v>45794</v>
      </c>
      <c r="M17" s="7" t="s">
        <v>85</v>
      </c>
      <c r="N17">
        <f t="shared" si="0"/>
        <v>2770.32</v>
      </c>
    </row>
    <row r="18" spans="1:14" x14ac:dyDescent="0.35">
      <c r="A18" s="7">
        <v>2025</v>
      </c>
      <c r="B18" s="7" t="s">
        <v>84</v>
      </c>
      <c r="C18" s="7" t="s">
        <v>55</v>
      </c>
      <c r="D18" s="7">
        <v>19</v>
      </c>
      <c r="E18" s="7">
        <v>236.11</v>
      </c>
      <c r="F18" s="7" t="s">
        <v>78</v>
      </c>
      <c r="G18" s="7" t="s">
        <v>57</v>
      </c>
      <c r="H18" s="7">
        <v>0</v>
      </c>
      <c r="I18" s="7" t="s">
        <v>83</v>
      </c>
      <c r="J18" s="7" t="s">
        <v>59</v>
      </c>
      <c r="K18" s="9">
        <v>44983</v>
      </c>
      <c r="L18" s="9">
        <v>44989</v>
      </c>
      <c r="M18" s="7" t="s">
        <v>85</v>
      </c>
      <c r="N18">
        <f t="shared" si="0"/>
        <v>4486.09</v>
      </c>
    </row>
    <row r="19" spans="1:14" x14ac:dyDescent="0.35">
      <c r="A19" s="7">
        <v>2023</v>
      </c>
      <c r="B19" s="7" t="s">
        <v>71</v>
      </c>
      <c r="C19" s="7" t="s">
        <v>69</v>
      </c>
      <c r="D19" s="7">
        <v>11</v>
      </c>
      <c r="E19" s="7">
        <v>573.14</v>
      </c>
      <c r="F19" s="7" t="s">
        <v>78</v>
      </c>
      <c r="G19" s="7" t="s">
        <v>64</v>
      </c>
      <c r="H19" s="7">
        <v>0.05</v>
      </c>
      <c r="I19" s="7" t="s">
        <v>79</v>
      </c>
      <c r="J19" s="7" t="s">
        <v>82</v>
      </c>
      <c r="K19" s="9">
        <v>45440</v>
      </c>
      <c r="L19" s="9">
        <v>45444</v>
      </c>
      <c r="M19" s="7" t="s">
        <v>74</v>
      </c>
      <c r="N19">
        <f t="shared" si="0"/>
        <v>6304.54</v>
      </c>
    </row>
    <row r="20" spans="1:14" x14ac:dyDescent="0.35">
      <c r="A20" s="7">
        <v>2023</v>
      </c>
      <c r="B20" s="7" t="s">
        <v>54</v>
      </c>
      <c r="C20" s="7" t="s">
        <v>62</v>
      </c>
      <c r="D20" s="7">
        <v>20</v>
      </c>
      <c r="E20" s="7">
        <v>519.04</v>
      </c>
      <c r="F20" s="7" t="s">
        <v>56</v>
      </c>
      <c r="G20" s="7" t="s">
        <v>64</v>
      </c>
      <c r="H20" s="7">
        <v>0.15</v>
      </c>
      <c r="I20" s="7" t="s">
        <v>76</v>
      </c>
      <c r="J20" s="7" t="s">
        <v>66</v>
      </c>
      <c r="K20" s="9">
        <v>45260</v>
      </c>
      <c r="L20" s="9">
        <v>45268</v>
      </c>
      <c r="M20" s="7" t="s">
        <v>60</v>
      </c>
      <c r="N20">
        <f t="shared" si="0"/>
        <v>10380.799999999999</v>
      </c>
    </row>
    <row r="21" spans="1:14" x14ac:dyDescent="0.35">
      <c r="A21" s="7">
        <v>2024</v>
      </c>
      <c r="B21" s="7" t="s">
        <v>84</v>
      </c>
      <c r="C21" s="7" t="s">
        <v>69</v>
      </c>
      <c r="D21" s="7">
        <v>14</v>
      </c>
      <c r="E21" s="7">
        <v>30.83</v>
      </c>
      <c r="F21" s="7" t="s">
        <v>56</v>
      </c>
      <c r="G21" s="7" t="s">
        <v>64</v>
      </c>
      <c r="H21" s="7">
        <v>0</v>
      </c>
      <c r="I21" s="7" t="s">
        <v>76</v>
      </c>
      <c r="J21" s="7" t="s">
        <v>59</v>
      </c>
      <c r="K21" s="9">
        <v>45099</v>
      </c>
      <c r="L21" s="9">
        <v>45109</v>
      </c>
      <c r="M21" s="7" t="s">
        <v>85</v>
      </c>
      <c r="N21">
        <f t="shared" si="0"/>
        <v>431.62</v>
      </c>
    </row>
    <row r="22" spans="1:14" x14ac:dyDescent="0.35">
      <c r="A22" s="7">
        <v>2025</v>
      </c>
      <c r="B22" s="7" t="s">
        <v>84</v>
      </c>
      <c r="C22" s="7" t="s">
        <v>62</v>
      </c>
      <c r="D22" s="7">
        <v>10</v>
      </c>
      <c r="E22" s="7">
        <v>319.05</v>
      </c>
      <c r="F22" s="7" t="s">
        <v>78</v>
      </c>
      <c r="G22" s="7" t="s">
        <v>57</v>
      </c>
      <c r="H22" s="7">
        <v>0</v>
      </c>
      <c r="I22" s="7" t="s">
        <v>79</v>
      </c>
      <c r="J22" s="7" t="s">
        <v>59</v>
      </c>
      <c r="K22" s="9">
        <v>45813</v>
      </c>
      <c r="L22" s="9">
        <v>45816</v>
      </c>
      <c r="M22" s="7" t="s">
        <v>85</v>
      </c>
      <c r="N22">
        <f t="shared" si="0"/>
        <v>3190.5</v>
      </c>
    </row>
    <row r="23" spans="1:14" x14ac:dyDescent="0.35">
      <c r="A23" s="7">
        <v>2024</v>
      </c>
      <c r="B23" s="7" t="s">
        <v>71</v>
      </c>
      <c r="C23" s="7" t="s">
        <v>72</v>
      </c>
      <c r="D23" s="7">
        <v>14</v>
      </c>
      <c r="E23" s="7">
        <v>312.79000000000002</v>
      </c>
      <c r="F23" s="7" t="s">
        <v>63</v>
      </c>
      <c r="G23" s="7" t="s">
        <v>64</v>
      </c>
      <c r="H23" s="7">
        <v>0.05</v>
      </c>
      <c r="I23" s="7" t="s">
        <v>83</v>
      </c>
      <c r="J23" s="7" t="s">
        <v>59</v>
      </c>
      <c r="K23" s="9">
        <v>44988</v>
      </c>
      <c r="L23" s="9">
        <v>44993</v>
      </c>
      <c r="M23" s="7" t="s">
        <v>74</v>
      </c>
      <c r="N23">
        <f t="shared" si="0"/>
        <v>4379.0600000000004</v>
      </c>
    </row>
    <row r="24" spans="1:14" x14ac:dyDescent="0.35">
      <c r="A24" s="7">
        <v>2024</v>
      </c>
      <c r="B24" s="7" t="s">
        <v>68</v>
      </c>
      <c r="C24" s="7" t="s">
        <v>55</v>
      </c>
      <c r="D24" s="7">
        <v>14</v>
      </c>
      <c r="E24" s="7">
        <v>395.45</v>
      </c>
      <c r="F24" s="7" t="s">
        <v>75</v>
      </c>
      <c r="G24" s="7" t="s">
        <v>64</v>
      </c>
      <c r="H24" s="7">
        <v>0</v>
      </c>
      <c r="I24" s="7" t="s">
        <v>76</v>
      </c>
      <c r="J24" s="7" t="s">
        <v>82</v>
      </c>
      <c r="K24" s="9">
        <v>45340</v>
      </c>
      <c r="L24" s="9">
        <v>45344</v>
      </c>
      <c r="M24" s="7" t="s">
        <v>70</v>
      </c>
      <c r="N24">
        <f t="shared" si="0"/>
        <v>5536.3</v>
      </c>
    </row>
    <row r="25" spans="1:14" x14ac:dyDescent="0.35">
      <c r="A25" s="7">
        <v>2025</v>
      </c>
      <c r="B25" s="7" t="s">
        <v>71</v>
      </c>
      <c r="C25" s="7" t="s">
        <v>55</v>
      </c>
      <c r="D25" s="7">
        <v>12</v>
      </c>
      <c r="E25" s="7">
        <v>472.72</v>
      </c>
      <c r="F25" s="7" t="s">
        <v>78</v>
      </c>
      <c r="G25" s="7" t="s">
        <v>64</v>
      </c>
      <c r="H25" s="7">
        <v>0.15</v>
      </c>
      <c r="I25" s="7" t="s">
        <v>79</v>
      </c>
      <c r="J25" s="7" t="s">
        <v>80</v>
      </c>
      <c r="K25" s="9">
        <v>45144</v>
      </c>
      <c r="L25" s="9">
        <v>45152</v>
      </c>
      <c r="M25" s="7" t="s">
        <v>74</v>
      </c>
      <c r="N25">
        <f t="shared" si="0"/>
        <v>5672.64</v>
      </c>
    </row>
    <row r="26" spans="1:14" x14ac:dyDescent="0.35">
      <c r="A26" s="7">
        <v>2023</v>
      </c>
      <c r="B26" s="7" t="s">
        <v>68</v>
      </c>
      <c r="C26" s="7" t="s">
        <v>69</v>
      </c>
      <c r="D26" s="7">
        <v>5</v>
      </c>
      <c r="E26" s="7">
        <v>288.01</v>
      </c>
      <c r="F26" s="7" t="s">
        <v>63</v>
      </c>
      <c r="G26" s="7" t="s">
        <v>57</v>
      </c>
      <c r="H26" s="7">
        <v>0</v>
      </c>
      <c r="I26" s="7" t="s">
        <v>58</v>
      </c>
      <c r="J26" s="7" t="s">
        <v>80</v>
      </c>
      <c r="K26" s="9">
        <v>45435</v>
      </c>
      <c r="L26" s="9">
        <v>45442</v>
      </c>
      <c r="M26" s="7" t="s">
        <v>70</v>
      </c>
      <c r="N26">
        <f t="shared" si="0"/>
        <v>1440.05</v>
      </c>
    </row>
    <row r="27" spans="1:14" x14ac:dyDescent="0.35">
      <c r="A27" s="7">
        <v>2023</v>
      </c>
      <c r="B27" s="7" t="s">
        <v>54</v>
      </c>
      <c r="C27" s="7" t="s">
        <v>62</v>
      </c>
      <c r="D27" s="7">
        <v>13</v>
      </c>
      <c r="E27" s="7">
        <v>562.29</v>
      </c>
      <c r="F27" s="7" t="s">
        <v>78</v>
      </c>
      <c r="G27" s="7" t="s">
        <v>64</v>
      </c>
      <c r="H27" s="7">
        <v>0</v>
      </c>
      <c r="I27" s="7" t="s">
        <v>79</v>
      </c>
      <c r="J27" s="7" t="s">
        <v>66</v>
      </c>
      <c r="K27" s="9">
        <v>45222</v>
      </c>
      <c r="L27" s="9">
        <v>45227</v>
      </c>
      <c r="M27" s="7" t="s">
        <v>60</v>
      </c>
      <c r="N27">
        <f t="shared" si="0"/>
        <v>7309.7699999999995</v>
      </c>
    </row>
    <row r="28" spans="1:14" x14ac:dyDescent="0.35">
      <c r="A28" s="7">
        <v>2024</v>
      </c>
      <c r="B28" s="7" t="s">
        <v>84</v>
      </c>
      <c r="C28" s="7" t="s">
        <v>62</v>
      </c>
      <c r="D28" s="7">
        <v>1</v>
      </c>
      <c r="E28" s="7">
        <v>101.73</v>
      </c>
      <c r="F28" s="7" t="s">
        <v>78</v>
      </c>
      <c r="G28" s="7" t="s">
        <v>64</v>
      </c>
      <c r="H28" s="7">
        <v>0</v>
      </c>
      <c r="I28" s="7" t="s">
        <v>73</v>
      </c>
      <c r="J28" s="7" t="s">
        <v>81</v>
      </c>
      <c r="K28" s="9">
        <v>45824</v>
      </c>
      <c r="L28" s="9">
        <v>45833</v>
      </c>
      <c r="M28" s="7" t="s">
        <v>85</v>
      </c>
      <c r="N28">
        <f t="shared" si="0"/>
        <v>101.73</v>
      </c>
    </row>
    <row r="29" spans="1:14" x14ac:dyDescent="0.35">
      <c r="A29" s="7">
        <v>2025</v>
      </c>
      <c r="B29" s="7" t="s">
        <v>68</v>
      </c>
      <c r="C29" s="7" t="s">
        <v>62</v>
      </c>
      <c r="D29" s="7">
        <v>4</v>
      </c>
      <c r="E29" s="7">
        <v>279.49</v>
      </c>
      <c r="F29" s="7" t="s">
        <v>56</v>
      </c>
      <c r="G29" s="7" t="s">
        <v>64</v>
      </c>
      <c r="H29" s="7">
        <v>0</v>
      </c>
      <c r="I29" s="7" t="s">
        <v>79</v>
      </c>
      <c r="J29" s="7" t="s">
        <v>80</v>
      </c>
      <c r="K29" s="9">
        <v>44988</v>
      </c>
      <c r="L29" s="9">
        <v>44993</v>
      </c>
      <c r="M29" s="7" t="s">
        <v>70</v>
      </c>
      <c r="N29">
        <f t="shared" si="0"/>
        <v>1117.96</v>
      </c>
    </row>
    <row r="30" spans="1:14" x14ac:dyDescent="0.35">
      <c r="A30" s="7">
        <v>2025</v>
      </c>
      <c r="B30" s="7" t="s">
        <v>61</v>
      </c>
      <c r="C30" s="7" t="s">
        <v>55</v>
      </c>
      <c r="D30" s="7">
        <v>1</v>
      </c>
      <c r="E30" s="7">
        <v>178.55</v>
      </c>
      <c r="F30" s="7" t="s">
        <v>63</v>
      </c>
      <c r="G30" s="7" t="s">
        <v>64</v>
      </c>
      <c r="H30" s="7">
        <v>0.15</v>
      </c>
      <c r="I30" s="7" t="s">
        <v>76</v>
      </c>
      <c r="J30" s="7" t="s">
        <v>81</v>
      </c>
      <c r="K30" s="9">
        <v>45614</v>
      </c>
      <c r="L30" s="9">
        <v>45617</v>
      </c>
      <c r="M30" s="7" t="s">
        <v>67</v>
      </c>
      <c r="N30">
        <f t="shared" si="0"/>
        <v>178.55</v>
      </c>
    </row>
    <row r="31" spans="1:14" x14ac:dyDescent="0.35">
      <c r="A31" s="7">
        <v>2024</v>
      </c>
      <c r="B31" s="7" t="s">
        <v>71</v>
      </c>
      <c r="C31" s="7" t="s">
        <v>86</v>
      </c>
      <c r="D31" s="7">
        <v>1</v>
      </c>
      <c r="E31" s="7">
        <v>472.07</v>
      </c>
      <c r="F31" s="7" t="s">
        <v>63</v>
      </c>
      <c r="G31" s="7" t="s">
        <v>57</v>
      </c>
      <c r="H31" s="7">
        <v>0.1</v>
      </c>
      <c r="I31" s="7" t="s">
        <v>76</v>
      </c>
      <c r="J31" s="7" t="s">
        <v>59</v>
      </c>
      <c r="K31" s="9">
        <v>45055</v>
      </c>
      <c r="L31" s="9">
        <v>45063</v>
      </c>
      <c r="M31" s="7" t="s">
        <v>74</v>
      </c>
      <c r="N31">
        <f t="shared" si="0"/>
        <v>472.07</v>
      </c>
    </row>
    <row r="32" spans="1:14" x14ac:dyDescent="0.35">
      <c r="A32" s="7">
        <v>2025</v>
      </c>
      <c r="B32" s="7" t="s">
        <v>68</v>
      </c>
      <c r="C32" s="7" t="s">
        <v>86</v>
      </c>
      <c r="D32" s="7">
        <v>12</v>
      </c>
      <c r="E32" s="7">
        <v>306.29000000000002</v>
      </c>
      <c r="F32" s="7" t="s">
        <v>78</v>
      </c>
      <c r="G32" s="7" t="s">
        <v>64</v>
      </c>
      <c r="H32" s="7">
        <v>0</v>
      </c>
      <c r="I32" s="7" t="s">
        <v>73</v>
      </c>
      <c r="J32" s="7" t="s">
        <v>81</v>
      </c>
      <c r="K32" s="9">
        <v>45633</v>
      </c>
      <c r="L32" s="9">
        <v>45640</v>
      </c>
      <c r="M32" s="7" t="s">
        <v>70</v>
      </c>
      <c r="N32">
        <f t="shared" si="0"/>
        <v>3675.4800000000005</v>
      </c>
    </row>
    <row r="33" spans="1:14" x14ac:dyDescent="0.35">
      <c r="A33" s="7">
        <v>2023</v>
      </c>
      <c r="B33" s="7" t="s">
        <v>68</v>
      </c>
      <c r="C33" s="7" t="s">
        <v>62</v>
      </c>
      <c r="D33" s="7">
        <v>7</v>
      </c>
      <c r="E33" s="7">
        <v>434.77</v>
      </c>
      <c r="F33" s="7" t="s">
        <v>75</v>
      </c>
      <c r="G33" s="7" t="s">
        <v>64</v>
      </c>
      <c r="H33" s="7">
        <v>0.15</v>
      </c>
      <c r="I33" s="7" t="s">
        <v>73</v>
      </c>
      <c r="J33" s="7" t="s">
        <v>59</v>
      </c>
      <c r="K33" s="9">
        <v>45335</v>
      </c>
      <c r="L33" s="9">
        <v>45337</v>
      </c>
      <c r="M33" s="7" t="s">
        <v>70</v>
      </c>
      <c r="N33">
        <f t="shared" si="0"/>
        <v>3043.39</v>
      </c>
    </row>
    <row r="34" spans="1:14" x14ac:dyDescent="0.35">
      <c r="A34" s="7">
        <v>2025</v>
      </c>
      <c r="B34" s="7" t="s">
        <v>61</v>
      </c>
      <c r="C34" s="7" t="s">
        <v>69</v>
      </c>
      <c r="D34" s="7">
        <v>6</v>
      </c>
      <c r="E34" s="7">
        <v>64.98</v>
      </c>
      <c r="F34" s="7" t="s">
        <v>75</v>
      </c>
      <c r="G34" s="7" t="s">
        <v>64</v>
      </c>
      <c r="H34" s="7">
        <v>0</v>
      </c>
      <c r="I34" s="7" t="s">
        <v>76</v>
      </c>
      <c r="J34" s="7" t="s">
        <v>81</v>
      </c>
      <c r="K34" s="9">
        <v>45725</v>
      </c>
      <c r="L34" s="9">
        <v>45731</v>
      </c>
      <c r="M34" s="7" t="s">
        <v>67</v>
      </c>
      <c r="N34">
        <f t="shared" si="0"/>
        <v>389.88</v>
      </c>
    </row>
    <row r="35" spans="1:14" x14ac:dyDescent="0.35">
      <c r="A35" s="7">
        <v>2025</v>
      </c>
      <c r="B35" s="7" t="s">
        <v>71</v>
      </c>
      <c r="C35" s="7" t="s">
        <v>69</v>
      </c>
      <c r="D35" s="7">
        <v>17</v>
      </c>
      <c r="E35" s="7">
        <v>476.49</v>
      </c>
      <c r="F35" s="7" t="s">
        <v>78</v>
      </c>
      <c r="G35" s="7" t="s">
        <v>64</v>
      </c>
      <c r="H35" s="7">
        <v>0</v>
      </c>
      <c r="I35" s="7" t="s">
        <v>65</v>
      </c>
      <c r="J35" s="7" t="s">
        <v>66</v>
      </c>
      <c r="K35" s="9">
        <v>45021</v>
      </c>
      <c r="L35" s="9">
        <v>45027</v>
      </c>
      <c r="M35" s="7" t="s">
        <v>74</v>
      </c>
      <c r="N35">
        <f t="shared" si="0"/>
        <v>8100.33</v>
      </c>
    </row>
    <row r="36" spans="1:14" x14ac:dyDescent="0.35">
      <c r="A36" s="7">
        <v>2023</v>
      </c>
      <c r="B36" s="7" t="s">
        <v>68</v>
      </c>
      <c r="C36" s="7" t="s">
        <v>77</v>
      </c>
      <c r="D36" s="7">
        <v>4</v>
      </c>
      <c r="E36" s="7">
        <v>559.72</v>
      </c>
      <c r="F36" s="7" t="s">
        <v>78</v>
      </c>
      <c r="G36" s="7" t="s">
        <v>64</v>
      </c>
      <c r="H36" s="7">
        <v>0.15</v>
      </c>
      <c r="I36" s="7" t="s">
        <v>79</v>
      </c>
      <c r="J36" s="7" t="s">
        <v>59</v>
      </c>
      <c r="K36" s="9">
        <v>45785</v>
      </c>
      <c r="L36" s="9">
        <v>45789</v>
      </c>
      <c r="M36" s="7" t="s">
        <v>70</v>
      </c>
      <c r="N36">
        <f t="shared" si="0"/>
        <v>2238.88</v>
      </c>
    </row>
    <row r="37" spans="1:14" x14ac:dyDescent="0.35">
      <c r="A37" s="7">
        <v>2024</v>
      </c>
      <c r="B37" s="7" t="s">
        <v>68</v>
      </c>
      <c r="C37" s="7" t="s">
        <v>86</v>
      </c>
      <c r="D37" s="7">
        <v>14</v>
      </c>
      <c r="E37" s="7">
        <v>82.14</v>
      </c>
      <c r="F37" s="7" t="s">
        <v>75</v>
      </c>
      <c r="G37" s="7" t="s">
        <v>64</v>
      </c>
      <c r="H37" s="7">
        <v>0</v>
      </c>
      <c r="I37" s="7" t="s">
        <v>65</v>
      </c>
      <c r="J37" s="7" t="s">
        <v>80</v>
      </c>
      <c r="K37" s="9">
        <v>45172</v>
      </c>
      <c r="L37" s="9">
        <v>45180</v>
      </c>
      <c r="M37" s="7" t="s">
        <v>70</v>
      </c>
      <c r="N37">
        <f t="shared" si="0"/>
        <v>1149.96</v>
      </c>
    </row>
    <row r="38" spans="1:14" x14ac:dyDescent="0.35">
      <c r="A38" s="7">
        <v>2025</v>
      </c>
      <c r="B38" s="7" t="s">
        <v>71</v>
      </c>
      <c r="C38" s="7" t="s">
        <v>72</v>
      </c>
      <c r="D38" s="7">
        <v>9</v>
      </c>
      <c r="E38" s="7">
        <v>343.21</v>
      </c>
      <c r="F38" s="7" t="s">
        <v>63</v>
      </c>
      <c r="G38" s="7" t="s">
        <v>64</v>
      </c>
      <c r="H38" s="7">
        <v>0.05</v>
      </c>
      <c r="I38" s="7" t="s">
        <v>76</v>
      </c>
      <c r="J38" s="7" t="s">
        <v>81</v>
      </c>
      <c r="K38" s="9">
        <v>45737</v>
      </c>
      <c r="L38" s="9">
        <v>45744</v>
      </c>
      <c r="M38" s="7" t="s">
        <v>74</v>
      </c>
      <c r="N38">
        <f t="shared" si="0"/>
        <v>3088.89</v>
      </c>
    </row>
    <row r="39" spans="1:14" x14ac:dyDescent="0.35">
      <c r="A39" s="7">
        <v>2025</v>
      </c>
      <c r="B39" s="7" t="s">
        <v>61</v>
      </c>
      <c r="C39" s="7" t="s">
        <v>72</v>
      </c>
      <c r="D39" s="7">
        <v>7</v>
      </c>
      <c r="E39" s="7">
        <v>301.01</v>
      </c>
      <c r="F39" s="7" t="s">
        <v>56</v>
      </c>
      <c r="G39" s="7" t="s">
        <v>64</v>
      </c>
      <c r="H39" s="7">
        <v>0.15</v>
      </c>
      <c r="I39" s="7" t="s">
        <v>79</v>
      </c>
      <c r="J39" s="7" t="s">
        <v>82</v>
      </c>
      <c r="K39" s="9">
        <v>45828</v>
      </c>
      <c r="L39" s="9">
        <v>45838</v>
      </c>
      <c r="M39" s="7" t="s">
        <v>67</v>
      </c>
      <c r="N39">
        <f t="shared" si="0"/>
        <v>2107.0699999999997</v>
      </c>
    </row>
    <row r="40" spans="1:14" x14ac:dyDescent="0.35">
      <c r="A40" s="7">
        <v>2025</v>
      </c>
      <c r="B40" s="7" t="s">
        <v>71</v>
      </c>
      <c r="C40" s="7" t="s">
        <v>87</v>
      </c>
      <c r="D40" s="7">
        <v>14</v>
      </c>
      <c r="E40" s="7">
        <v>428.13</v>
      </c>
      <c r="F40" s="7" t="s">
        <v>75</v>
      </c>
      <c r="G40" s="7" t="s">
        <v>64</v>
      </c>
      <c r="H40" s="7">
        <v>0.1</v>
      </c>
      <c r="I40" s="7" t="s">
        <v>83</v>
      </c>
      <c r="J40" s="7" t="s">
        <v>82</v>
      </c>
      <c r="K40" s="9">
        <v>45337</v>
      </c>
      <c r="L40" s="9">
        <v>45347</v>
      </c>
      <c r="M40" s="7" t="s">
        <v>74</v>
      </c>
      <c r="N40">
        <f t="shared" si="0"/>
        <v>5993.82</v>
      </c>
    </row>
    <row r="41" spans="1:14" x14ac:dyDescent="0.35">
      <c r="A41" s="7">
        <v>2023</v>
      </c>
      <c r="B41" s="7" t="s">
        <v>71</v>
      </c>
      <c r="C41" s="7" t="s">
        <v>55</v>
      </c>
      <c r="D41" s="7">
        <v>2</v>
      </c>
      <c r="E41" s="7">
        <v>503.28</v>
      </c>
      <c r="F41" s="7" t="s">
        <v>78</v>
      </c>
      <c r="G41" s="7" t="s">
        <v>64</v>
      </c>
      <c r="H41" s="7">
        <v>0.15</v>
      </c>
      <c r="I41" s="7" t="s">
        <v>65</v>
      </c>
      <c r="J41" s="7" t="s">
        <v>66</v>
      </c>
      <c r="K41" s="9">
        <v>45086</v>
      </c>
      <c r="L41" s="9">
        <v>45094</v>
      </c>
      <c r="M41" s="7" t="s">
        <v>74</v>
      </c>
      <c r="N41">
        <f t="shared" si="0"/>
        <v>1006.56</v>
      </c>
    </row>
    <row r="42" spans="1:14" x14ac:dyDescent="0.35">
      <c r="A42" s="7">
        <v>2023</v>
      </c>
      <c r="B42" s="7" t="s">
        <v>61</v>
      </c>
      <c r="C42" s="7" t="s">
        <v>87</v>
      </c>
      <c r="D42" s="7">
        <v>5</v>
      </c>
      <c r="E42" s="7">
        <v>470.32</v>
      </c>
      <c r="F42" s="7" t="s">
        <v>63</v>
      </c>
      <c r="G42" s="7" t="s">
        <v>64</v>
      </c>
      <c r="H42" s="7">
        <v>0.1</v>
      </c>
      <c r="I42" s="7" t="s">
        <v>58</v>
      </c>
      <c r="J42" s="7" t="s">
        <v>81</v>
      </c>
      <c r="K42" s="9">
        <v>45148</v>
      </c>
      <c r="L42" s="9">
        <v>45152</v>
      </c>
      <c r="M42" s="7" t="s">
        <v>67</v>
      </c>
      <c r="N42">
        <f t="shared" si="0"/>
        <v>2351.6</v>
      </c>
    </row>
    <row r="43" spans="1:14" x14ac:dyDescent="0.35">
      <c r="A43" s="7">
        <v>2024</v>
      </c>
      <c r="B43" s="7" t="s">
        <v>71</v>
      </c>
      <c r="C43" s="7" t="s">
        <v>87</v>
      </c>
      <c r="D43" s="7">
        <v>20</v>
      </c>
      <c r="E43" s="7">
        <v>65.17</v>
      </c>
      <c r="F43" s="7" t="s">
        <v>75</v>
      </c>
      <c r="G43" s="7" t="s">
        <v>57</v>
      </c>
      <c r="H43" s="7">
        <v>0.05</v>
      </c>
      <c r="I43" s="7" t="s">
        <v>58</v>
      </c>
      <c r="J43" s="7" t="s">
        <v>66</v>
      </c>
      <c r="K43" s="9">
        <v>45459</v>
      </c>
      <c r="L43" s="9">
        <v>45468</v>
      </c>
      <c r="M43" s="7" t="s">
        <v>74</v>
      </c>
      <c r="N43">
        <f t="shared" si="0"/>
        <v>1303.4000000000001</v>
      </c>
    </row>
    <row r="44" spans="1:14" x14ac:dyDescent="0.35">
      <c r="A44" s="7">
        <v>2025</v>
      </c>
      <c r="B44" s="7" t="s">
        <v>61</v>
      </c>
      <c r="C44" s="7" t="s">
        <v>55</v>
      </c>
      <c r="D44" s="7">
        <v>12</v>
      </c>
      <c r="E44" s="7">
        <v>36.17</v>
      </c>
      <c r="F44" s="7" t="s">
        <v>63</v>
      </c>
      <c r="G44" s="7" t="s">
        <v>64</v>
      </c>
      <c r="H44" s="7">
        <v>0</v>
      </c>
      <c r="I44" s="7" t="s">
        <v>58</v>
      </c>
      <c r="J44" s="7" t="s">
        <v>59</v>
      </c>
      <c r="K44" s="9">
        <v>45130</v>
      </c>
      <c r="L44" s="9">
        <v>45133</v>
      </c>
      <c r="M44" s="7" t="s">
        <v>67</v>
      </c>
      <c r="N44">
        <f t="shared" si="0"/>
        <v>434.04</v>
      </c>
    </row>
    <row r="45" spans="1:14" x14ac:dyDescent="0.35">
      <c r="A45" s="7">
        <v>2025</v>
      </c>
      <c r="B45" s="7" t="s">
        <v>71</v>
      </c>
      <c r="C45" s="7" t="s">
        <v>87</v>
      </c>
      <c r="D45" s="7">
        <v>4</v>
      </c>
      <c r="E45" s="7">
        <v>459.31</v>
      </c>
      <c r="F45" s="7" t="s">
        <v>78</v>
      </c>
      <c r="G45" s="7" t="s">
        <v>57</v>
      </c>
      <c r="H45" s="7">
        <v>0.15</v>
      </c>
      <c r="I45" s="7" t="s">
        <v>76</v>
      </c>
      <c r="J45" s="7" t="s">
        <v>66</v>
      </c>
      <c r="K45" s="9">
        <v>45066</v>
      </c>
      <c r="L45" s="9">
        <v>45073</v>
      </c>
      <c r="M45" s="7" t="s">
        <v>74</v>
      </c>
      <c r="N45">
        <f t="shared" si="0"/>
        <v>1837.24</v>
      </c>
    </row>
    <row r="46" spans="1:14" x14ac:dyDescent="0.35">
      <c r="A46" s="7">
        <v>2023</v>
      </c>
      <c r="B46" s="7" t="s">
        <v>61</v>
      </c>
      <c r="C46" s="7" t="s">
        <v>55</v>
      </c>
      <c r="D46" s="7">
        <v>2</v>
      </c>
      <c r="E46" s="7">
        <v>416.06</v>
      </c>
      <c r="F46" s="7" t="s">
        <v>78</v>
      </c>
      <c r="G46" s="7" t="s">
        <v>64</v>
      </c>
      <c r="H46" s="7">
        <v>0.05</v>
      </c>
      <c r="I46" s="7" t="s">
        <v>58</v>
      </c>
      <c r="J46" s="7" t="s">
        <v>81</v>
      </c>
      <c r="K46" s="9">
        <v>45107</v>
      </c>
      <c r="L46" s="9">
        <v>45111</v>
      </c>
      <c r="M46" s="7" t="s">
        <v>67</v>
      </c>
      <c r="N46">
        <f t="shared" si="0"/>
        <v>832.12</v>
      </c>
    </row>
    <row r="47" spans="1:14" x14ac:dyDescent="0.35">
      <c r="A47" s="7">
        <v>2023</v>
      </c>
      <c r="B47" s="7" t="s">
        <v>61</v>
      </c>
      <c r="C47" s="7" t="s">
        <v>86</v>
      </c>
      <c r="D47" s="7">
        <v>16</v>
      </c>
      <c r="E47" s="7">
        <v>302.58</v>
      </c>
      <c r="F47" s="7" t="s">
        <v>78</v>
      </c>
      <c r="G47" s="7" t="s">
        <v>64</v>
      </c>
      <c r="H47" s="7">
        <v>0</v>
      </c>
      <c r="I47" s="7" t="s">
        <v>65</v>
      </c>
      <c r="J47" s="7" t="s">
        <v>59</v>
      </c>
      <c r="K47" s="9">
        <v>45447</v>
      </c>
      <c r="L47" s="9">
        <v>45457</v>
      </c>
      <c r="M47" s="7" t="s">
        <v>67</v>
      </c>
      <c r="N47">
        <f t="shared" si="0"/>
        <v>4841.28</v>
      </c>
    </row>
    <row r="48" spans="1:14" x14ac:dyDescent="0.35">
      <c r="A48" s="7">
        <v>2025</v>
      </c>
      <c r="B48" s="7" t="s">
        <v>84</v>
      </c>
      <c r="C48" s="7" t="s">
        <v>72</v>
      </c>
      <c r="D48" s="7">
        <v>11</v>
      </c>
      <c r="E48" s="7">
        <v>33.130000000000003</v>
      </c>
      <c r="F48" s="7" t="s">
        <v>63</v>
      </c>
      <c r="G48" s="7" t="s">
        <v>64</v>
      </c>
      <c r="H48" s="7">
        <v>0.15</v>
      </c>
      <c r="I48" s="7" t="s">
        <v>73</v>
      </c>
      <c r="J48" s="7" t="s">
        <v>59</v>
      </c>
      <c r="K48" s="9">
        <v>45691</v>
      </c>
      <c r="L48" s="9">
        <v>45693</v>
      </c>
      <c r="M48" s="7" t="s">
        <v>85</v>
      </c>
      <c r="N48">
        <f t="shared" si="0"/>
        <v>364.43</v>
      </c>
    </row>
    <row r="49" spans="1:14" x14ac:dyDescent="0.35">
      <c r="A49" s="7">
        <v>2025</v>
      </c>
      <c r="B49" s="7" t="s">
        <v>54</v>
      </c>
      <c r="C49" s="7" t="s">
        <v>86</v>
      </c>
      <c r="D49" s="7">
        <v>8</v>
      </c>
      <c r="E49" s="7">
        <v>582.52</v>
      </c>
      <c r="F49" s="7" t="s">
        <v>78</v>
      </c>
      <c r="G49" s="7" t="s">
        <v>64</v>
      </c>
      <c r="H49" s="7">
        <v>0.15</v>
      </c>
      <c r="I49" s="7" t="s">
        <v>73</v>
      </c>
      <c r="J49" s="7" t="s">
        <v>66</v>
      </c>
      <c r="K49" s="9">
        <v>45300</v>
      </c>
      <c r="L49" s="9">
        <v>45304</v>
      </c>
      <c r="M49" s="7" t="s">
        <v>60</v>
      </c>
      <c r="N49">
        <f t="shared" si="0"/>
        <v>4660.16</v>
      </c>
    </row>
    <row r="50" spans="1:14" x14ac:dyDescent="0.35">
      <c r="A50" s="7">
        <v>2024</v>
      </c>
      <c r="B50" s="7" t="s">
        <v>68</v>
      </c>
      <c r="C50" s="7" t="s">
        <v>69</v>
      </c>
      <c r="D50" s="7">
        <v>5</v>
      </c>
      <c r="E50" s="7">
        <v>165.15</v>
      </c>
      <c r="F50" s="7" t="s">
        <v>63</v>
      </c>
      <c r="G50" s="7" t="s">
        <v>64</v>
      </c>
      <c r="H50" s="7">
        <v>0.1</v>
      </c>
      <c r="I50" s="7" t="s">
        <v>58</v>
      </c>
      <c r="J50" s="7" t="s">
        <v>66</v>
      </c>
      <c r="K50" s="9">
        <v>45365</v>
      </c>
      <c r="L50" s="9">
        <v>45367</v>
      </c>
      <c r="M50" s="7" t="s">
        <v>70</v>
      </c>
      <c r="N50">
        <f t="shared" si="0"/>
        <v>825.75</v>
      </c>
    </row>
    <row r="69" spans="1:10" ht="31.2" customHeight="1" x14ac:dyDescent="0.35">
      <c r="A69" s="31" t="s">
        <v>89</v>
      </c>
      <c r="B69" s="31"/>
      <c r="C69" s="31"/>
      <c r="D69" s="31"/>
      <c r="E69" s="32" t="s">
        <v>94</v>
      </c>
      <c r="F69" s="32"/>
      <c r="G69" s="32"/>
      <c r="H69" s="33" t="s">
        <v>95</v>
      </c>
      <c r="I69" s="33"/>
      <c r="J69" s="33"/>
    </row>
    <row r="70" spans="1:10" ht="24.6" customHeight="1" x14ac:dyDescent="0.35">
      <c r="B70" s="11">
        <v>2023</v>
      </c>
      <c r="C70" s="11">
        <v>2024</v>
      </c>
      <c r="D70" s="11">
        <v>2025</v>
      </c>
      <c r="E70" s="13">
        <v>2023</v>
      </c>
      <c r="F70" s="13">
        <v>2024</v>
      </c>
      <c r="G70" s="13">
        <v>2025</v>
      </c>
      <c r="H70" s="13">
        <v>2023</v>
      </c>
      <c r="I70" s="13">
        <v>2024</v>
      </c>
      <c r="J70" s="13">
        <v>2025</v>
      </c>
    </row>
    <row r="71" spans="1:10" x14ac:dyDescent="0.35">
      <c r="A71" s="16" t="s">
        <v>55</v>
      </c>
      <c r="B71" s="22">
        <f t="shared" ref="B71:D75" si="1">SUMIFS($N$2:$N$50,$C$2:$C$50,TRIM($A71),$A$2:$A$50,B$70)</f>
        <v>1838.6799999999998</v>
      </c>
      <c r="C71" s="22">
        <f t="shared" si="1"/>
        <v>33536.300000000003</v>
      </c>
      <c r="D71" s="22">
        <f t="shared" si="1"/>
        <v>10771.32</v>
      </c>
      <c r="E71" s="19">
        <f>COUNTIFS($C$2:$C$50,TRIM($A71),$A$2:$A$50,E$70)</f>
        <v>2</v>
      </c>
      <c r="F71" s="19">
        <f t="shared" ref="F71:G71" si="2">COUNTIFS($C$2:$C$50,TRIM($A71),$A$2:$A$50,F$70)</f>
        <v>2</v>
      </c>
      <c r="G71" s="19">
        <f t="shared" si="2"/>
        <v>4</v>
      </c>
      <c r="H71" s="20">
        <f>E71/SUM(E$71:E$75)</f>
        <v>0.2857142857142857</v>
      </c>
      <c r="I71" s="20">
        <f t="shared" ref="I71:J75" si="3">F71/SUM(F$71:F$75)</f>
        <v>0.18181818181818182</v>
      </c>
      <c r="J71" s="20">
        <f t="shared" si="3"/>
        <v>0.2</v>
      </c>
    </row>
    <row r="72" spans="1:10" x14ac:dyDescent="0.35">
      <c r="A72" s="16" t="s">
        <v>87</v>
      </c>
      <c r="B72" s="22">
        <f t="shared" si="1"/>
        <v>2351.6</v>
      </c>
      <c r="C72" s="22">
        <f t="shared" si="1"/>
        <v>1303.4000000000001</v>
      </c>
      <c r="D72" s="22">
        <f t="shared" si="1"/>
        <v>7831.0599999999995</v>
      </c>
      <c r="E72" s="19">
        <f t="shared" ref="E72:G75" si="4">COUNTIFS($C$2:$C$50,TRIM($A72),$A$2:$A$50,E$70)</f>
        <v>1</v>
      </c>
      <c r="F72" s="19">
        <f t="shared" si="4"/>
        <v>1</v>
      </c>
      <c r="G72" s="19">
        <f t="shared" si="4"/>
        <v>2</v>
      </c>
      <c r="H72" s="20">
        <f t="shared" ref="H72:H75" si="5">E72/SUM(E$71:E$75)</f>
        <v>0.14285714285714285</v>
      </c>
      <c r="I72" s="20">
        <f t="shared" si="3"/>
        <v>9.0909090909090912E-2</v>
      </c>
      <c r="J72" s="20">
        <f t="shared" si="3"/>
        <v>0.1</v>
      </c>
    </row>
    <row r="73" spans="1:10" x14ac:dyDescent="0.35">
      <c r="A73" s="16" t="s">
        <v>72</v>
      </c>
      <c r="B73" s="22">
        <f t="shared" si="1"/>
        <v>0</v>
      </c>
      <c r="C73" s="22">
        <f t="shared" si="1"/>
        <v>7149.380000000001</v>
      </c>
      <c r="D73" s="22">
        <f t="shared" si="1"/>
        <v>14896.43</v>
      </c>
      <c r="E73" s="19">
        <f t="shared" si="4"/>
        <v>0</v>
      </c>
      <c r="F73" s="19">
        <f t="shared" si="4"/>
        <v>2</v>
      </c>
      <c r="G73" s="19">
        <f t="shared" si="4"/>
        <v>7</v>
      </c>
      <c r="H73" s="20">
        <f t="shared" si="5"/>
        <v>0</v>
      </c>
      <c r="I73" s="20">
        <f t="shared" si="3"/>
        <v>0.18181818181818182</v>
      </c>
      <c r="J73" s="20">
        <f t="shared" si="3"/>
        <v>0.35</v>
      </c>
    </row>
    <row r="74" spans="1:10" x14ac:dyDescent="0.35">
      <c r="A74" s="16" t="s">
        <v>69</v>
      </c>
      <c r="B74" s="22">
        <f t="shared" si="1"/>
        <v>12591.11</v>
      </c>
      <c r="C74" s="22">
        <f t="shared" si="1"/>
        <v>12411.22</v>
      </c>
      <c r="D74" s="22">
        <f t="shared" si="1"/>
        <v>14386.29</v>
      </c>
      <c r="E74" s="19">
        <f t="shared" si="4"/>
        <v>3</v>
      </c>
      <c r="F74" s="19">
        <f t="shared" si="4"/>
        <v>4</v>
      </c>
      <c r="G74" s="19">
        <f t="shared" si="4"/>
        <v>4</v>
      </c>
      <c r="H74" s="20">
        <f t="shared" si="5"/>
        <v>0.42857142857142855</v>
      </c>
      <c r="I74" s="20">
        <f t="shared" si="3"/>
        <v>0.36363636363636365</v>
      </c>
      <c r="J74" s="20">
        <f t="shared" si="3"/>
        <v>0.2</v>
      </c>
    </row>
    <row r="75" spans="1:10" x14ac:dyDescent="0.35">
      <c r="A75" s="16" t="s">
        <v>86</v>
      </c>
      <c r="B75" s="22">
        <f t="shared" si="1"/>
        <v>4841.28</v>
      </c>
      <c r="C75" s="22">
        <f t="shared" si="1"/>
        <v>1622.03</v>
      </c>
      <c r="D75" s="22">
        <f t="shared" si="1"/>
        <v>8493.4700000000012</v>
      </c>
      <c r="E75" s="19">
        <f t="shared" si="4"/>
        <v>1</v>
      </c>
      <c r="F75" s="19">
        <f t="shared" si="4"/>
        <v>2</v>
      </c>
      <c r="G75" s="19">
        <f t="shared" si="4"/>
        <v>3</v>
      </c>
      <c r="H75" s="20">
        <f t="shared" si="5"/>
        <v>0.14285714285714285</v>
      </c>
      <c r="I75" s="20">
        <f t="shared" si="3"/>
        <v>0.18181818181818182</v>
      </c>
      <c r="J75" s="20">
        <f t="shared" si="3"/>
        <v>0.15</v>
      </c>
    </row>
    <row r="76" spans="1:10" x14ac:dyDescent="0.35">
      <c r="E76" s="1"/>
      <c r="F76" s="1"/>
      <c r="G76" s="1"/>
      <c r="H76" s="1"/>
      <c r="I76" s="1"/>
      <c r="J76" s="1"/>
    </row>
    <row r="77" spans="1:10" x14ac:dyDescent="0.35">
      <c r="D77" s="21" t="s">
        <v>8</v>
      </c>
      <c r="E77" s="17">
        <f>SUM(E71:E75)</f>
        <v>7</v>
      </c>
      <c r="F77" s="17">
        <f>SUM(F71:F75)</f>
        <v>11</v>
      </c>
      <c r="G77" s="17">
        <f>SUM(G71:G75)</f>
        <v>20</v>
      </c>
      <c r="H77" s="18">
        <f>SUM(H71:H75)</f>
        <v>1</v>
      </c>
      <c r="I77" s="18">
        <f t="shared" ref="I77:J77" si="6">SUM(I71:I75)</f>
        <v>1</v>
      </c>
      <c r="J77" s="18">
        <f t="shared" si="6"/>
        <v>1</v>
      </c>
    </row>
    <row r="80" spans="1:10" x14ac:dyDescent="0.35">
      <c r="A80" s="12" t="s">
        <v>90</v>
      </c>
      <c r="B80" s="12" t="s">
        <v>91</v>
      </c>
      <c r="C80" s="12" t="s">
        <v>92</v>
      </c>
      <c r="E80" s="15" t="s">
        <v>93</v>
      </c>
    </row>
    <row r="81" spans="1:10" x14ac:dyDescent="0.35">
      <c r="A81" s="14">
        <f t="shared" ref="A81:C85" si="7">AVERAGEIFS($N$2:$N$50,$C$2:$C$50,TRIM($A71),$A$2:$A$50,B$70)</f>
        <v>919.33999999999992</v>
      </c>
      <c r="B81" s="14">
        <f t="shared" si="7"/>
        <v>16768.150000000001</v>
      </c>
      <c r="C81" s="14">
        <f t="shared" si="7"/>
        <v>2692.83</v>
      </c>
      <c r="E81" s="14">
        <f>IFERROR(A81,"Something went wrong")</f>
        <v>919.33999999999992</v>
      </c>
    </row>
    <row r="82" spans="1:10" x14ac:dyDescent="0.35">
      <c r="A82" s="14">
        <f t="shared" si="7"/>
        <v>2351.6</v>
      </c>
      <c r="B82" s="14">
        <f t="shared" si="7"/>
        <v>1303.4000000000001</v>
      </c>
      <c r="C82" s="14">
        <f t="shared" si="7"/>
        <v>3915.5299999999997</v>
      </c>
      <c r="E82" s="14">
        <f>IFERROR(A82,"Something went wrong")</f>
        <v>2351.6</v>
      </c>
    </row>
    <row r="83" spans="1:10" x14ac:dyDescent="0.35">
      <c r="A83" s="14" t="e">
        <f t="shared" si="7"/>
        <v>#DIV/0!</v>
      </c>
      <c r="B83" s="14">
        <f t="shared" si="7"/>
        <v>3574.6900000000005</v>
      </c>
      <c r="C83" s="14">
        <f t="shared" si="7"/>
        <v>2128.0614285714287</v>
      </c>
      <c r="E83" s="14" t="str">
        <f>IFERROR(A83,"Something went wrong")</f>
        <v>Something went wrong</v>
      </c>
    </row>
    <row r="84" spans="1:10" x14ac:dyDescent="0.35">
      <c r="A84" s="14">
        <f t="shared" si="7"/>
        <v>4197.0366666666669</v>
      </c>
      <c r="B84" s="14">
        <f t="shared" si="7"/>
        <v>3102.8049999999998</v>
      </c>
      <c r="C84" s="14">
        <f t="shared" si="7"/>
        <v>3596.5725000000002</v>
      </c>
      <c r="E84" s="14">
        <f>IFERROR(A84,"Something went wrong")</f>
        <v>4197.0366666666669</v>
      </c>
    </row>
    <row r="85" spans="1:10" x14ac:dyDescent="0.35">
      <c r="A85" s="14">
        <f t="shared" si="7"/>
        <v>4841.28</v>
      </c>
      <c r="B85" s="14">
        <f t="shared" si="7"/>
        <v>811.01499999999999</v>
      </c>
      <c r="C85" s="14">
        <f t="shared" si="7"/>
        <v>2831.1566666666672</v>
      </c>
      <c r="E85" s="14">
        <f>IFERROR(A85,"Something went wrong")</f>
        <v>4841.28</v>
      </c>
    </row>
    <row r="87" spans="1:10" x14ac:dyDescent="0.35">
      <c r="A87" s="1"/>
      <c r="B87" s="1"/>
      <c r="C87" s="1"/>
      <c r="D87" s="1"/>
      <c r="E87" s="1"/>
      <c r="F87" s="1"/>
      <c r="G87" s="1"/>
      <c r="H87" s="1"/>
      <c r="I87" s="1"/>
      <c r="J87" s="1"/>
    </row>
    <row r="88" spans="1:10" x14ac:dyDescent="0.35">
      <c r="A88" s="1"/>
      <c r="B88" s="34" t="s">
        <v>55</v>
      </c>
      <c r="C88" s="34"/>
      <c r="D88" s="34"/>
      <c r="E88" s="35" t="s">
        <v>72</v>
      </c>
      <c r="F88" s="35"/>
      <c r="G88" s="35"/>
      <c r="H88" s="36" t="s">
        <v>87</v>
      </c>
      <c r="I88" s="36"/>
      <c r="J88" s="36"/>
    </row>
    <row r="89" spans="1:10" x14ac:dyDescent="0.35">
      <c r="A89" s="1"/>
      <c r="B89" s="26" t="s">
        <v>94</v>
      </c>
      <c r="C89" s="26" t="s">
        <v>96</v>
      </c>
      <c r="D89" s="26" t="s">
        <v>97</v>
      </c>
      <c r="E89" s="24" t="s">
        <v>94</v>
      </c>
      <c r="F89" s="24" t="s">
        <v>96</v>
      </c>
      <c r="G89" s="24" t="s">
        <v>97</v>
      </c>
      <c r="H89" s="27" t="s">
        <v>94</v>
      </c>
      <c r="I89" s="27" t="s">
        <v>96</v>
      </c>
      <c r="J89" s="27" t="s">
        <v>97</v>
      </c>
    </row>
    <row r="90" spans="1:10" x14ac:dyDescent="0.35">
      <c r="A90" s="23">
        <v>2023</v>
      </c>
      <c r="B90" s="25">
        <f>COUNTIFS($C$2:$C$50,TRIM(B$88),$A$2:$A$50,$A90)</f>
        <v>2</v>
      </c>
      <c r="C90" s="25">
        <f>SUMIFS($N$2:$N$50,$C$2:$C$50,B$88,$A$2:$A$50,$A90)</f>
        <v>1838.6799999999998</v>
      </c>
      <c r="D90" s="25">
        <f>AVERAGEIFS($N$2:$N$50,$C$2:$C$50,TRIM(B$88),$A$2:$A$50,$A90)</f>
        <v>919.33999999999992</v>
      </c>
      <c r="E90" s="25">
        <f>COUNTIFS($C$2:$C$50,TRIM(E$88),$A$2:$A$50,$A90)</f>
        <v>0</v>
      </c>
      <c r="F90" s="25">
        <f>SUMIFS($N$2:$N$50,$C$2:$C$50,E$88,$A$2:$A$50,$A90)</f>
        <v>0</v>
      </c>
      <c r="G90" s="25" t="e">
        <f>AVERAGEIFS($N$2:$N$50,$C$2:$C$50,TRIM(E$88),$A$2:$A$50,$A90)</f>
        <v>#DIV/0!</v>
      </c>
      <c r="H90" s="25">
        <f>COUNTIFS($C$2:$C$50,TRIM(H$88),$A$2:$A$50,$A90)</f>
        <v>1</v>
      </c>
      <c r="I90" s="25">
        <f>SUMIFS($N$2:$N$50,$C$2:$C$50,H$88,$A$2:$A$50,$A90)</f>
        <v>2351.6</v>
      </c>
      <c r="J90" s="25">
        <f>AVERAGEIFS($N$2:$N$50,$C$2:$C$50,TRIM(H$88),$A$2:$A$50,$A90)</f>
        <v>2351.6</v>
      </c>
    </row>
    <row r="91" spans="1:10" x14ac:dyDescent="0.35">
      <c r="A91" s="23">
        <v>2024</v>
      </c>
      <c r="B91" s="25">
        <f t="shared" ref="B91:B92" si="8">COUNTIFS($C$2:$C$50,TRIM(B$88),$A$2:$A$50,$A91)</f>
        <v>2</v>
      </c>
      <c r="C91" s="25">
        <f>SUMIFS($N$2:$N$50,$C$2:$C$50,B$88,$A$2:$A$50,$A91)</f>
        <v>33536.300000000003</v>
      </c>
      <c r="D91" s="25">
        <f>AVERAGEIFS($N$2:$N$50,$C$2:$C$50,TRIM(B$88),$A$2:$A$50,$A91)</f>
        <v>16768.150000000001</v>
      </c>
      <c r="E91" s="25">
        <f t="shared" ref="E91:E92" si="9">COUNTIFS($C$2:$C$50,TRIM(E$88),$A$2:$A$50,$A91)</f>
        <v>2</v>
      </c>
      <c r="F91" s="25">
        <f>SUMIFS($N$2:$N$50,$C$2:$C$50,E$88,$A$2:$A$50,$A91)</f>
        <v>7149.380000000001</v>
      </c>
      <c r="G91" s="25">
        <f>AVERAGEIFS($N$2:$N$50,$C$2:$C$50,TRIM(E$88),$A$2:$A$50,$A91)</f>
        <v>3574.6900000000005</v>
      </c>
      <c r="H91" s="25">
        <f t="shared" ref="H91:H92" si="10">COUNTIFS($C$2:$C$50,TRIM(H$88),$A$2:$A$50,$A91)</f>
        <v>1</v>
      </c>
      <c r="I91" s="25">
        <f>SUMIFS($N$2:$N$50,$C$2:$C$50,H$88,$A$2:$A$50,$A91)</f>
        <v>1303.4000000000001</v>
      </c>
      <c r="J91" s="25">
        <f>AVERAGEIFS($N$2:$N$50,$C$2:$C$50,TRIM(H$88),$A$2:$A$50,$A91)</f>
        <v>1303.4000000000001</v>
      </c>
    </row>
    <row r="92" spans="1:10" x14ac:dyDescent="0.35">
      <c r="A92" s="23">
        <v>2025</v>
      </c>
      <c r="B92" s="25">
        <f t="shared" si="8"/>
        <v>4</v>
      </c>
      <c r="C92" s="25">
        <f>SUMIFS($N$2:$N$50,$C$2:$C$50,B$88,$A$2:$A$50,$A92)</f>
        <v>10771.32</v>
      </c>
      <c r="D92" s="25">
        <f>AVERAGEIFS($N$2:$N$50,$C$2:$C$50,TRIM(B$88),$A$2:$A$50,$A92)</f>
        <v>2692.83</v>
      </c>
      <c r="E92" s="25">
        <f t="shared" si="9"/>
        <v>7</v>
      </c>
      <c r="F92" s="25">
        <f>SUMIFS($N$2:$N$50,$C$2:$C$50,E$88,$A$2:$A$50,$A92)</f>
        <v>14896.43</v>
      </c>
      <c r="G92" s="25">
        <f>AVERAGEIFS($N$2:$N$50,$C$2:$C$50,TRIM(E$88),$A$2:$A$50,$A92)</f>
        <v>2128.0614285714287</v>
      </c>
      <c r="H92" s="25">
        <f t="shared" si="10"/>
        <v>2</v>
      </c>
      <c r="I92" s="25">
        <f>SUMIFS($N$2:$N$50,$C$2:$C$50,H$88,$A$2:$A$50,$A92)</f>
        <v>7831.0599999999995</v>
      </c>
      <c r="J92" s="25">
        <f>AVERAGEIFS($N$2:$N$50,$C$2:$C$50,TRIM(H$88),$A$2:$A$50,$A92)</f>
        <v>3915.5299999999997</v>
      </c>
    </row>
    <row r="106" spans="5:7" x14ac:dyDescent="0.35">
      <c r="E106">
        <v>1</v>
      </c>
      <c r="G106" cm="1">
        <f t="array" ref="G106">_xlfn.IFS(E106 = 1, 10, E106= 2, 20)</f>
        <v>10</v>
      </c>
    </row>
    <row r="107" spans="5:7" x14ac:dyDescent="0.35">
      <c r="E107">
        <v>2</v>
      </c>
      <c r="G107" cm="1">
        <f t="array" ref="G107">_xlfn.IFS(E107 = 1, 10, E107= 2, 20)</f>
        <v>20</v>
      </c>
    </row>
    <row r="108" spans="5:7" x14ac:dyDescent="0.35">
      <c r="E108">
        <v>3</v>
      </c>
    </row>
    <row r="109" spans="5:7" x14ac:dyDescent="0.35">
      <c r="E109">
        <v>3</v>
      </c>
    </row>
  </sheetData>
  <mergeCells count="6">
    <mergeCell ref="A69:D69"/>
    <mergeCell ref="E69:G69"/>
    <mergeCell ref="H69:J69"/>
    <mergeCell ref="B88:D88"/>
    <mergeCell ref="E88:G88"/>
    <mergeCell ref="H88:J88"/>
  </mergeCells>
  <conditionalFormatting sqref="A81:A85">
    <cfRule type="expression" dxfId="13" priority="2">
      <formula>A81=MAX(A$81:A$85)</formula>
    </cfRule>
  </conditionalFormatting>
  <conditionalFormatting sqref="B81:C85">
    <cfRule type="expression" dxfId="12" priority="1">
      <formula>B81=MAX(B$81:B$85)</formula>
    </cfRule>
  </conditionalFormatting>
  <conditionalFormatting sqref="B71:D75">
    <cfRule type="expression" dxfId="11" priority="3">
      <formula>B71=MAX(B$71:B$75)</formula>
    </cfRule>
  </conditionalFormatting>
  <conditionalFormatting sqref="E81:E85">
    <cfRule type="expression" dxfId="10" priority="11">
      <formula>ISERROR(A81)</formula>
    </cfRule>
  </conditionalFormatting>
  <conditionalFormatting sqref="E71:G75">
    <cfRule type="expression" dxfId="9" priority="4">
      <formula>E71=MAX(E$71:E$75)</formula>
    </cfRule>
  </conditionalFormatting>
  <conditionalFormatting sqref="H71:J75">
    <cfRule type="expression" dxfId="8" priority="5">
      <formula>H71=MAX(H$71:H$75)</formula>
    </cfRule>
  </conditionalFormatting>
  <dataValidations count="1">
    <dataValidation type="list" allowBlank="1" showInputMessage="1" showErrorMessage="1" sqref="C55" xr:uid="{7A1D44A2-8035-4DFE-8A51-7825B299FC79}">
      <formula1>"Laptop, Tablet, Chair, Desk, Printer, Monitor, Phone, "</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1EC01-3558-4CAF-8FA5-3C02BC76403B}">
  <sheetPr codeName="Sheet6"/>
  <dimension ref="C1:L72"/>
  <sheetViews>
    <sheetView topLeftCell="A22" zoomScale="115" zoomScaleNormal="115" workbookViewId="0">
      <selection activeCell="K54" sqref="K54"/>
    </sheetView>
  </sheetViews>
  <sheetFormatPr defaultRowHeight="18" x14ac:dyDescent="0.35"/>
  <cols>
    <col min="3" max="3" width="16.08203125" bestFit="1" customWidth="1"/>
    <col min="5" max="5" width="11.6640625" bestFit="1" customWidth="1"/>
  </cols>
  <sheetData>
    <row r="1" spans="4:12" x14ac:dyDescent="0.35">
      <c r="D1" s="39" t="s">
        <v>19</v>
      </c>
      <c r="E1" s="39"/>
      <c r="F1" s="39"/>
      <c r="G1" s="39"/>
      <c r="H1" s="39"/>
      <c r="I1" s="39"/>
      <c r="J1" s="39"/>
      <c r="K1" s="39"/>
      <c r="L1" s="39"/>
    </row>
    <row r="2" spans="4:12" x14ac:dyDescent="0.35">
      <c r="D2" t="s">
        <v>23</v>
      </c>
    </row>
    <row r="4" spans="4:12" x14ac:dyDescent="0.35">
      <c r="D4" t="s">
        <v>20</v>
      </c>
      <c r="E4" t="s">
        <v>21</v>
      </c>
      <c r="F4" t="s">
        <v>22</v>
      </c>
    </row>
    <row r="5" spans="4:12" x14ac:dyDescent="0.35">
      <c r="D5">
        <v>6</v>
      </c>
      <c r="E5">
        <v>155</v>
      </c>
      <c r="F5">
        <f>D5*E5</f>
        <v>930</v>
      </c>
    </row>
    <row r="6" spans="4:12" x14ac:dyDescent="0.35">
      <c r="D6">
        <v>3</v>
      </c>
      <c r="E6">
        <v>221</v>
      </c>
      <c r="F6">
        <f t="shared" ref="F6:F14" si="0">D6*E6</f>
        <v>663</v>
      </c>
    </row>
    <row r="7" spans="4:12" x14ac:dyDescent="0.35">
      <c r="D7">
        <v>5</v>
      </c>
      <c r="E7">
        <v>221</v>
      </c>
      <c r="F7">
        <f t="shared" si="0"/>
        <v>1105</v>
      </c>
    </row>
    <row r="8" spans="4:12" x14ac:dyDescent="0.35">
      <c r="D8">
        <v>1</v>
      </c>
      <c r="E8">
        <v>220</v>
      </c>
      <c r="F8">
        <f t="shared" si="0"/>
        <v>220</v>
      </c>
    </row>
    <row r="9" spans="4:12" x14ac:dyDescent="0.35">
      <c r="D9">
        <v>6</v>
      </c>
      <c r="E9">
        <v>172</v>
      </c>
      <c r="F9">
        <f t="shared" si="0"/>
        <v>1032</v>
      </c>
    </row>
    <row r="10" spans="4:12" x14ac:dyDescent="0.35">
      <c r="D10">
        <v>1</v>
      </c>
      <c r="E10">
        <v>131</v>
      </c>
      <c r="F10">
        <f t="shared" si="0"/>
        <v>131</v>
      </c>
    </row>
    <row r="11" spans="4:12" x14ac:dyDescent="0.35">
      <c r="D11">
        <v>2</v>
      </c>
      <c r="E11">
        <v>271</v>
      </c>
      <c r="F11">
        <f t="shared" si="0"/>
        <v>542</v>
      </c>
    </row>
    <row r="12" spans="4:12" x14ac:dyDescent="0.35">
      <c r="D12">
        <v>4</v>
      </c>
      <c r="E12">
        <v>172</v>
      </c>
      <c r="F12">
        <f t="shared" si="0"/>
        <v>688</v>
      </c>
    </row>
    <row r="13" spans="4:12" x14ac:dyDescent="0.35">
      <c r="D13">
        <v>2</v>
      </c>
      <c r="E13">
        <v>104</v>
      </c>
      <c r="F13">
        <f t="shared" si="0"/>
        <v>208</v>
      </c>
    </row>
    <row r="14" spans="4:12" x14ac:dyDescent="0.35">
      <c r="D14">
        <v>10</v>
      </c>
      <c r="E14">
        <v>127</v>
      </c>
      <c r="F14">
        <f t="shared" si="0"/>
        <v>1270</v>
      </c>
    </row>
    <row r="16" spans="4:12" x14ac:dyDescent="0.35">
      <c r="I16" s="5" t="s">
        <v>25</v>
      </c>
      <c r="J16" s="5">
        <v>15</v>
      </c>
    </row>
    <row r="17" spans="3:10" x14ac:dyDescent="0.35">
      <c r="C17" t="s">
        <v>26</v>
      </c>
      <c r="D17" t="s">
        <v>24</v>
      </c>
      <c r="E17" t="s">
        <v>30</v>
      </c>
    </row>
    <row r="18" spans="3:10" x14ac:dyDescent="0.35">
      <c r="C18" t="s">
        <v>27</v>
      </c>
      <c r="D18">
        <v>50000</v>
      </c>
      <c r="E18">
        <f>D18*($J$16/100)</f>
        <v>7500</v>
      </c>
    </row>
    <row r="19" spans="3:10" x14ac:dyDescent="0.35">
      <c r="C19" t="s">
        <v>28</v>
      </c>
      <c r="D19">
        <v>70000</v>
      </c>
      <c r="E19">
        <f t="shared" ref="E19:E20" si="1">D19*($J$16/100)</f>
        <v>10500</v>
      </c>
    </row>
    <row r="20" spans="3:10" x14ac:dyDescent="0.35">
      <c r="C20" t="s">
        <v>29</v>
      </c>
      <c r="D20">
        <v>120000</v>
      </c>
      <c r="E20">
        <f t="shared" si="1"/>
        <v>18000</v>
      </c>
    </row>
    <row r="23" spans="3:10" x14ac:dyDescent="0.35">
      <c r="C23" t="s">
        <v>31</v>
      </c>
    </row>
    <row r="25" spans="3:10" x14ac:dyDescent="0.35">
      <c r="D25">
        <v>2</v>
      </c>
      <c r="E25">
        <v>3</v>
      </c>
      <c r="F25">
        <v>4</v>
      </c>
      <c r="G25">
        <v>5</v>
      </c>
      <c r="H25">
        <v>6</v>
      </c>
      <c r="I25">
        <v>7</v>
      </c>
      <c r="J25">
        <v>8</v>
      </c>
    </row>
    <row r="26" spans="3:10" x14ac:dyDescent="0.35">
      <c r="C26">
        <v>2</v>
      </c>
      <c r="D26">
        <f>$C26*D$25</f>
        <v>4</v>
      </c>
      <c r="E26">
        <f t="shared" ref="E26:J27" si="2">$C26*E$25</f>
        <v>6</v>
      </c>
      <c r="F26">
        <f t="shared" si="2"/>
        <v>8</v>
      </c>
      <c r="G26">
        <f t="shared" si="2"/>
        <v>10</v>
      </c>
      <c r="H26">
        <f t="shared" si="2"/>
        <v>12</v>
      </c>
      <c r="I26">
        <f t="shared" si="2"/>
        <v>14</v>
      </c>
      <c r="J26">
        <f t="shared" si="2"/>
        <v>16</v>
      </c>
    </row>
    <row r="27" spans="3:10" x14ac:dyDescent="0.35">
      <c r="C27">
        <v>3</v>
      </c>
      <c r="D27">
        <f>$C27*D$25</f>
        <v>6</v>
      </c>
      <c r="E27">
        <f t="shared" si="2"/>
        <v>9</v>
      </c>
      <c r="F27">
        <f t="shared" si="2"/>
        <v>12</v>
      </c>
      <c r="G27">
        <f t="shared" si="2"/>
        <v>15</v>
      </c>
      <c r="H27">
        <f t="shared" si="2"/>
        <v>18</v>
      </c>
      <c r="I27">
        <f t="shared" si="2"/>
        <v>21</v>
      </c>
      <c r="J27">
        <f t="shared" si="2"/>
        <v>24</v>
      </c>
    </row>
    <row r="37" spans="4:7" x14ac:dyDescent="0.35">
      <c r="E37" t="s">
        <v>32</v>
      </c>
    </row>
    <row r="38" spans="4:7" x14ac:dyDescent="0.35">
      <c r="F38" t="s">
        <v>33</v>
      </c>
    </row>
    <row r="39" spans="4:7" x14ac:dyDescent="0.35">
      <c r="F39" t="s">
        <v>34</v>
      </c>
      <c r="G39" t="s">
        <v>37</v>
      </c>
    </row>
    <row r="40" spans="4:7" x14ac:dyDescent="0.35">
      <c r="F40" t="s">
        <v>35</v>
      </c>
    </row>
    <row r="43" spans="4:7" x14ac:dyDescent="0.35">
      <c r="D43" t="s">
        <v>20</v>
      </c>
      <c r="E43" t="s">
        <v>21</v>
      </c>
      <c r="G43" t="s">
        <v>36</v>
      </c>
    </row>
    <row r="44" spans="4:7" x14ac:dyDescent="0.35">
      <c r="D44">
        <v>6</v>
      </c>
      <c r="E44">
        <v>155</v>
      </c>
      <c r="G44">
        <f>D44*E44</f>
        <v>930</v>
      </c>
    </row>
    <row r="45" spans="4:7" x14ac:dyDescent="0.35">
      <c r="D45">
        <v>3</v>
      </c>
      <c r="E45">
        <v>221</v>
      </c>
      <c r="G45">
        <f t="shared" ref="G45:G53" si="3">D45*E45</f>
        <v>663</v>
      </c>
    </row>
    <row r="46" spans="4:7" x14ac:dyDescent="0.35">
      <c r="D46">
        <v>5</v>
      </c>
      <c r="E46">
        <v>221</v>
      </c>
      <c r="G46">
        <f t="shared" si="3"/>
        <v>1105</v>
      </c>
    </row>
    <row r="47" spans="4:7" x14ac:dyDescent="0.35">
      <c r="D47">
        <v>1</v>
      </c>
      <c r="E47">
        <v>220</v>
      </c>
      <c r="G47">
        <f t="shared" si="3"/>
        <v>220</v>
      </c>
    </row>
    <row r="48" spans="4:7" x14ac:dyDescent="0.35">
      <c r="D48">
        <v>6</v>
      </c>
      <c r="E48">
        <v>172</v>
      </c>
      <c r="G48">
        <f t="shared" si="3"/>
        <v>1032</v>
      </c>
    </row>
    <row r="49" spans="4:11" x14ac:dyDescent="0.35">
      <c r="D49">
        <v>1</v>
      </c>
      <c r="E49">
        <v>131</v>
      </c>
      <c r="G49">
        <f t="shared" si="3"/>
        <v>131</v>
      </c>
    </row>
    <row r="50" spans="4:11" x14ac:dyDescent="0.35">
      <c r="D50">
        <v>2</v>
      </c>
      <c r="E50">
        <v>271</v>
      </c>
      <c r="G50">
        <f t="shared" si="3"/>
        <v>542</v>
      </c>
    </row>
    <row r="51" spans="4:11" x14ac:dyDescent="0.35">
      <c r="D51">
        <v>4</v>
      </c>
      <c r="E51">
        <v>172</v>
      </c>
      <c r="G51">
        <f t="shared" si="3"/>
        <v>688</v>
      </c>
    </row>
    <row r="52" spans="4:11" x14ac:dyDescent="0.35">
      <c r="D52">
        <v>2</v>
      </c>
      <c r="E52">
        <v>104</v>
      </c>
      <c r="G52">
        <f t="shared" si="3"/>
        <v>208</v>
      </c>
    </row>
    <row r="53" spans="4:11" x14ac:dyDescent="0.35">
      <c r="D53">
        <v>10</v>
      </c>
      <c r="E53">
        <v>127</v>
      </c>
      <c r="G53">
        <f t="shared" si="3"/>
        <v>1270</v>
      </c>
    </row>
    <row r="58" spans="4:11" x14ac:dyDescent="0.35">
      <c r="E58" t="s">
        <v>38</v>
      </c>
      <c r="F58" t="s">
        <v>39</v>
      </c>
      <c r="J58" t="s">
        <v>25</v>
      </c>
      <c r="K58">
        <v>10</v>
      </c>
    </row>
    <row r="59" spans="4:11" x14ac:dyDescent="0.35">
      <c r="E59">
        <v>50000</v>
      </c>
      <c r="F59">
        <f>E59*($K$58/100)</f>
        <v>5000</v>
      </c>
    </row>
    <row r="60" spans="4:11" x14ac:dyDescent="0.35">
      <c r="E60">
        <v>100000</v>
      </c>
      <c r="F60">
        <f>E60*($K$58/100)</f>
        <v>10000</v>
      </c>
    </row>
    <row r="61" spans="4:11" x14ac:dyDescent="0.35">
      <c r="E61">
        <v>150000</v>
      </c>
      <c r="F61">
        <f t="shared" ref="F61" si="4">E61*($K$58/100)</f>
        <v>15000</v>
      </c>
    </row>
    <row r="66" spans="4:8" x14ac:dyDescent="0.35">
      <c r="E66" t="s">
        <v>40</v>
      </c>
    </row>
    <row r="68" spans="4:8" x14ac:dyDescent="0.35">
      <c r="E68">
        <v>2</v>
      </c>
      <c r="F68">
        <v>3</v>
      </c>
      <c r="G68">
        <v>4</v>
      </c>
      <c r="H68">
        <v>5</v>
      </c>
    </row>
    <row r="69" spans="4:8" x14ac:dyDescent="0.35">
      <c r="D69">
        <v>2</v>
      </c>
      <c r="E69">
        <f>$D69*E$68</f>
        <v>4</v>
      </c>
      <c r="F69">
        <f t="shared" ref="F69:H72" si="5">$D69*F$68</f>
        <v>6</v>
      </c>
      <c r="G69">
        <f t="shared" si="5"/>
        <v>8</v>
      </c>
      <c r="H69">
        <f t="shared" si="5"/>
        <v>10</v>
      </c>
    </row>
    <row r="70" spans="4:8" x14ac:dyDescent="0.35">
      <c r="D70">
        <v>3</v>
      </c>
      <c r="E70">
        <f t="shared" ref="E70:E72" si="6">$D70*E$68</f>
        <v>6</v>
      </c>
      <c r="F70">
        <f t="shared" si="5"/>
        <v>9</v>
      </c>
      <c r="G70">
        <f t="shared" si="5"/>
        <v>12</v>
      </c>
      <c r="H70">
        <f t="shared" si="5"/>
        <v>15</v>
      </c>
    </row>
    <row r="71" spans="4:8" x14ac:dyDescent="0.35">
      <c r="D71">
        <v>4</v>
      </c>
      <c r="E71">
        <f t="shared" si="6"/>
        <v>8</v>
      </c>
      <c r="F71">
        <f t="shared" si="5"/>
        <v>12</v>
      </c>
      <c r="G71">
        <f t="shared" si="5"/>
        <v>16</v>
      </c>
      <c r="H71">
        <f t="shared" si="5"/>
        <v>20</v>
      </c>
    </row>
    <row r="72" spans="4:8" x14ac:dyDescent="0.35">
      <c r="D72">
        <v>5</v>
      </c>
      <c r="E72">
        <f t="shared" si="6"/>
        <v>10</v>
      </c>
      <c r="F72">
        <f t="shared" si="5"/>
        <v>15</v>
      </c>
      <c r="G72">
        <f t="shared" si="5"/>
        <v>20</v>
      </c>
      <c r="H72">
        <f t="shared" si="5"/>
        <v>25</v>
      </c>
    </row>
  </sheetData>
  <mergeCells count="1">
    <mergeCell ref="D1:L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0B2B-A5A9-4CE8-B122-3EDC90EC5A42}">
  <sheetPr codeName="Sheet1"/>
  <dimension ref="A1:AJ29"/>
  <sheetViews>
    <sheetView tabSelected="1" zoomScale="85" zoomScaleNormal="85" workbookViewId="0">
      <selection activeCell="C11" sqref="C11"/>
    </sheetView>
  </sheetViews>
  <sheetFormatPr defaultRowHeight="18" x14ac:dyDescent="0.35"/>
  <cols>
    <col min="1" max="1" width="21" style="1" customWidth="1"/>
    <col min="2" max="2" width="16.5" style="1" customWidth="1"/>
    <col min="3" max="32" width="9.9140625" style="1" bestFit="1" customWidth="1"/>
    <col min="33" max="33" width="8.6640625" style="1"/>
    <col min="36" max="36" width="9.9140625" customWidth="1"/>
  </cols>
  <sheetData>
    <row r="1" spans="1:36" ht="40.200000000000003" customHeight="1" x14ac:dyDescent="0.35">
      <c r="A1" s="40" t="s">
        <v>118</v>
      </c>
      <c r="B1" s="40"/>
      <c r="C1" s="40"/>
      <c r="D1" s="40"/>
      <c r="E1" s="40"/>
      <c r="F1" s="40"/>
      <c r="G1" s="40"/>
      <c r="H1" s="40"/>
      <c r="I1" s="40"/>
      <c r="J1" s="40"/>
      <c r="K1" s="40"/>
    </row>
    <row r="2" spans="1:36" x14ac:dyDescent="0.35">
      <c r="A2" s="1" t="s">
        <v>119</v>
      </c>
      <c r="B2" s="1" t="s">
        <v>114</v>
      </c>
    </row>
    <row r="3" spans="1:36" x14ac:dyDescent="0.35">
      <c r="A3" s="1" t="s">
        <v>120</v>
      </c>
      <c r="B3" s="1">
        <v>2026</v>
      </c>
    </row>
    <row r="5" spans="1:36" x14ac:dyDescent="0.35">
      <c r="A5" s="42" t="s">
        <v>121</v>
      </c>
      <c r="B5" s="42" t="s">
        <v>26</v>
      </c>
      <c r="C5" s="43">
        <f>DATE(B3,MONTH(B2&amp;0),1)</f>
        <v>46266</v>
      </c>
      <c r="D5" s="43">
        <f>IF(C5&gt;= EOMONTH(DATE($B$3,MONTH($B$2&amp;0),1),0), "", C5+1)</f>
        <v>46267</v>
      </c>
      <c r="E5" s="43">
        <f>IF(D5&gt;= EOMONTH(DATE($B$3,MONTH($B$2&amp;0),1),0), "", D5+1)</f>
        <v>46268</v>
      </c>
      <c r="F5" s="43">
        <f t="shared" ref="F5:AG5" si="0">IF(E5&gt;= EOMONTH(DATE($B$3,MONTH($B$2&amp;0),1),0), "", E5+1)</f>
        <v>46269</v>
      </c>
      <c r="G5" s="43">
        <f t="shared" si="0"/>
        <v>46270</v>
      </c>
      <c r="H5" s="43">
        <f t="shared" si="0"/>
        <v>46271</v>
      </c>
      <c r="I5" s="43">
        <f t="shared" si="0"/>
        <v>46272</v>
      </c>
      <c r="J5" s="43">
        <f t="shared" si="0"/>
        <v>46273</v>
      </c>
      <c r="K5" s="43">
        <f t="shared" si="0"/>
        <v>46274</v>
      </c>
      <c r="L5" s="43">
        <f t="shared" si="0"/>
        <v>46275</v>
      </c>
      <c r="M5" s="43">
        <f t="shared" si="0"/>
        <v>46276</v>
      </c>
      <c r="N5" s="43">
        <f t="shared" si="0"/>
        <v>46277</v>
      </c>
      <c r="O5" s="43">
        <f t="shared" si="0"/>
        <v>46278</v>
      </c>
      <c r="P5" s="43">
        <f t="shared" si="0"/>
        <v>46279</v>
      </c>
      <c r="Q5" s="43">
        <f t="shared" si="0"/>
        <v>46280</v>
      </c>
      <c r="R5" s="43">
        <f t="shared" si="0"/>
        <v>46281</v>
      </c>
      <c r="S5" s="43">
        <f t="shared" si="0"/>
        <v>46282</v>
      </c>
      <c r="T5" s="43">
        <f t="shared" si="0"/>
        <v>46283</v>
      </c>
      <c r="U5" s="43">
        <f t="shared" si="0"/>
        <v>46284</v>
      </c>
      <c r="V5" s="43">
        <f t="shared" si="0"/>
        <v>46285</v>
      </c>
      <c r="W5" s="43">
        <f t="shared" si="0"/>
        <v>46286</v>
      </c>
      <c r="X5" s="43">
        <f t="shared" si="0"/>
        <v>46287</v>
      </c>
      <c r="Y5" s="43">
        <f t="shared" si="0"/>
        <v>46288</v>
      </c>
      <c r="Z5" s="43">
        <f t="shared" si="0"/>
        <v>46289</v>
      </c>
      <c r="AA5" s="43">
        <f t="shared" si="0"/>
        <v>46290</v>
      </c>
      <c r="AB5" s="43">
        <f t="shared" si="0"/>
        <v>46291</v>
      </c>
      <c r="AC5" s="43">
        <f t="shared" si="0"/>
        <v>46292</v>
      </c>
      <c r="AD5" s="43">
        <f t="shared" si="0"/>
        <v>46293</v>
      </c>
      <c r="AE5" s="43">
        <f t="shared" si="0"/>
        <v>46294</v>
      </c>
      <c r="AF5" s="43">
        <f t="shared" si="0"/>
        <v>46295</v>
      </c>
      <c r="AG5" s="43" t="str">
        <f t="shared" si="0"/>
        <v/>
      </c>
      <c r="AH5" t="s">
        <v>123</v>
      </c>
      <c r="AI5" t="s">
        <v>124</v>
      </c>
      <c r="AJ5" t="s">
        <v>125</v>
      </c>
    </row>
    <row r="6" spans="1:36" x14ac:dyDescent="0.35">
      <c r="A6" s="42"/>
      <c r="B6" s="42"/>
      <c r="C6" s="44">
        <f>C5</f>
        <v>46266</v>
      </c>
      <c r="D6" s="44">
        <f t="shared" ref="D6:AH6" si="1">D5</f>
        <v>46267</v>
      </c>
      <c r="E6" s="44">
        <f t="shared" si="1"/>
        <v>46268</v>
      </c>
      <c r="F6" s="44">
        <f t="shared" si="1"/>
        <v>46269</v>
      </c>
      <c r="G6" s="44">
        <f t="shared" si="1"/>
        <v>46270</v>
      </c>
      <c r="H6" s="44">
        <f t="shared" si="1"/>
        <v>46271</v>
      </c>
      <c r="I6" s="44">
        <f t="shared" si="1"/>
        <v>46272</v>
      </c>
      <c r="J6" s="44">
        <f t="shared" si="1"/>
        <v>46273</v>
      </c>
      <c r="K6" s="44">
        <f t="shared" si="1"/>
        <v>46274</v>
      </c>
      <c r="L6" s="44">
        <f t="shared" si="1"/>
        <v>46275</v>
      </c>
      <c r="M6" s="44">
        <f t="shared" si="1"/>
        <v>46276</v>
      </c>
      <c r="N6" s="44">
        <f t="shared" si="1"/>
        <v>46277</v>
      </c>
      <c r="O6" s="44">
        <f t="shared" si="1"/>
        <v>46278</v>
      </c>
      <c r="P6" s="44">
        <f t="shared" si="1"/>
        <v>46279</v>
      </c>
      <c r="Q6" s="44">
        <f t="shared" si="1"/>
        <v>46280</v>
      </c>
      <c r="R6" s="44">
        <f t="shared" si="1"/>
        <v>46281</v>
      </c>
      <c r="S6" s="44">
        <f t="shared" si="1"/>
        <v>46282</v>
      </c>
      <c r="T6" s="44">
        <f t="shared" si="1"/>
        <v>46283</v>
      </c>
      <c r="U6" s="44">
        <f t="shared" si="1"/>
        <v>46284</v>
      </c>
      <c r="V6" s="44">
        <f t="shared" si="1"/>
        <v>46285</v>
      </c>
      <c r="W6" s="44">
        <f t="shared" si="1"/>
        <v>46286</v>
      </c>
      <c r="X6" s="44">
        <f t="shared" si="1"/>
        <v>46287</v>
      </c>
      <c r="Y6" s="44">
        <f t="shared" si="1"/>
        <v>46288</v>
      </c>
      <c r="Z6" s="44">
        <f t="shared" si="1"/>
        <v>46289</v>
      </c>
      <c r="AA6" s="44">
        <f t="shared" si="1"/>
        <v>46290</v>
      </c>
      <c r="AB6" s="44">
        <f t="shared" si="1"/>
        <v>46291</v>
      </c>
      <c r="AC6" s="44">
        <f t="shared" si="1"/>
        <v>46292</v>
      </c>
      <c r="AD6" s="44">
        <f t="shared" si="1"/>
        <v>46293</v>
      </c>
      <c r="AE6" s="44">
        <f t="shared" si="1"/>
        <v>46294</v>
      </c>
      <c r="AF6" s="44">
        <f t="shared" si="1"/>
        <v>46295</v>
      </c>
      <c r="AG6" s="44" t="str">
        <f t="shared" si="1"/>
        <v/>
      </c>
      <c r="AH6" s="41"/>
      <c r="AI6" s="45"/>
      <c r="AJ6" s="46"/>
    </row>
    <row r="7" spans="1:36" x14ac:dyDescent="0.35">
      <c r="A7" s="25">
        <v>1</v>
      </c>
      <c r="B7" s="25" t="str">
        <f>"Text_user_" &amp; TEXT(ROW(A1),"000")</f>
        <v>Text_user_001</v>
      </c>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41">
        <f>COUNTIF(C7:AG7,"P")</f>
        <v>0</v>
      </c>
      <c r="AI7" s="45">
        <f>COUNTIF(C7:AG7,"A")</f>
        <v>0</v>
      </c>
      <c r="AJ7" s="46" t="e">
        <f>COUNTIF(C7:AG7,"P")/COUNTA(C7:AG7)</f>
        <v>#DIV/0!</v>
      </c>
    </row>
    <row r="8" spans="1:36" x14ac:dyDescent="0.35">
      <c r="A8" s="25">
        <v>2</v>
      </c>
      <c r="B8" s="25" t="str">
        <f t="shared" ref="B8:B29" si="2">"Text_user_" &amp; TEXT(ROW(A2),"000")</f>
        <v>Text_user_002</v>
      </c>
      <c r="C8" s="25"/>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41">
        <f t="shared" ref="AH8:AH29" si="3">COUNTIF(C8:AG8,"P")</f>
        <v>0</v>
      </c>
      <c r="AI8" s="45">
        <f t="shared" ref="AI8:AI29" si="4">COUNTIF(C8:AG8,"A")</f>
        <v>0</v>
      </c>
      <c r="AJ8" s="46" t="e">
        <f t="shared" ref="AJ8:AJ29" si="5">COUNTIF(C8:AG8,"P")/COUNTA(C8:AG8)</f>
        <v>#DIV/0!</v>
      </c>
    </row>
    <row r="9" spans="1:36" x14ac:dyDescent="0.35">
      <c r="A9" s="25">
        <v>3</v>
      </c>
      <c r="B9" s="25" t="str">
        <f t="shared" si="2"/>
        <v>Text_user_003</v>
      </c>
      <c r="C9" s="25"/>
      <c r="D9" s="25"/>
      <c r="E9" s="25"/>
      <c r="F9" s="25"/>
      <c r="G9" s="25"/>
      <c r="H9" s="25"/>
      <c r="I9" s="25"/>
      <c r="J9" s="25"/>
      <c r="K9" s="25"/>
      <c r="L9" s="25"/>
      <c r="M9" s="25"/>
      <c r="N9" s="25"/>
      <c r="O9" s="25"/>
      <c r="P9" s="25"/>
      <c r="Q9" s="25"/>
      <c r="R9" s="25"/>
      <c r="S9" s="25"/>
      <c r="T9" s="25"/>
      <c r="U9" s="25"/>
      <c r="V9" s="25"/>
      <c r="W9" s="25"/>
      <c r="X9" s="25"/>
      <c r="Y9" s="25"/>
      <c r="Z9" s="25"/>
      <c r="AA9" s="25"/>
      <c r="AB9" s="25"/>
      <c r="AC9" s="25"/>
      <c r="AD9" s="25"/>
      <c r="AE9" s="25"/>
      <c r="AF9" s="25"/>
      <c r="AG9" s="25"/>
      <c r="AH9" s="41">
        <f t="shared" si="3"/>
        <v>0</v>
      </c>
      <c r="AI9" s="45">
        <f t="shared" si="4"/>
        <v>0</v>
      </c>
      <c r="AJ9" s="46" t="e">
        <f t="shared" si="5"/>
        <v>#DIV/0!</v>
      </c>
    </row>
    <row r="10" spans="1:36" x14ac:dyDescent="0.35">
      <c r="A10" s="25">
        <v>4</v>
      </c>
      <c r="B10" s="25" t="str">
        <f t="shared" si="2"/>
        <v>Text_user_004</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41">
        <f t="shared" si="3"/>
        <v>0</v>
      </c>
      <c r="AI10" s="45">
        <f t="shared" si="4"/>
        <v>0</v>
      </c>
      <c r="AJ10" s="46" t="e">
        <f t="shared" si="5"/>
        <v>#DIV/0!</v>
      </c>
    </row>
    <row r="11" spans="1:36" x14ac:dyDescent="0.35">
      <c r="A11" s="25">
        <v>5</v>
      </c>
      <c r="B11" s="25" t="str">
        <f t="shared" si="2"/>
        <v>Text_user_005</v>
      </c>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41">
        <f t="shared" si="3"/>
        <v>0</v>
      </c>
      <c r="AI11" s="45">
        <f t="shared" si="4"/>
        <v>0</v>
      </c>
      <c r="AJ11" s="46" t="e">
        <f t="shared" si="5"/>
        <v>#DIV/0!</v>
      </c>
    </row>
    <row r="12" spans="1:36" x14ac:dyDescent="0.35">
      <c r="A12" s="25">
        <v>6</v>
      </c>
      <c r="B12" s="25" t="str">
        <f t="shared" si="2"/>
        <v>Text_user_006</v>
      </c>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41">
        <f t="shared" si="3"/>
        <v>0</v>
      </c>
      <c r="AI12" s="45">
        <f t="shared" si="4"/>
        <v>0</v>
      </c>
      <c r="AJ12" s="46" t="e">
        <f t="shared" si="5"/>
        <v>#DIV/0!</v>
      </c>
    </row>
    <row r="13" spans="1:36" x14ac:dyDescent="0.35">
      <c r="A13" s="25">
        <v>7</v>
      </c>
      <c r="B13" s="25" t="str">
        <f t="shared" si="2"/>
        <v>Text_user_007</v>
      </c>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41">
        <f t="shared" si="3"/>
        <v>0</v>
      </c>
      <c r="AI13" s="45">
        <f t="shared" si="4"/>
        <v>0</v>
      </c>
      <c r="AJ13" s="46" t="e">
        <f t="shared" si="5"/>
        <v>#DIV/0!</v>
      </c>
    </row>
    <row r="14" spans="1:36" x14ac:dyDescent="0.35">
      <c r="A14" s="25">
        <v>8</v>
      </c>
      <c r="B14" s="25" t="str">
        <f t="shared" si="2"/>
        <v>Text_user_008</v>
      </c>
      <c r="C14" s="2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41">
        <f t="shared" si="3"/>
        <v>0</v>
      </c>
      <c r="AI14" s="45">
        <f t="shared" si="4"/>
        <v>0</v>
      </c>
      <c r="AJ14" s="46" t="e">
        <f t="shared" si="5"/>
        <v>#DIV/0!</v>
      </c>
    </row>
    <row r="15" spans="1:36" x14ac:dyDescent="0.35">
      <c r="A15" s="25">
        <v>9</v>
      </c>
      <c r="B15" s="25" t="str">
        <f t="shared" si="2"/>
        <v>Text_user_009</v>
      </c>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41">
        <f t="shared" si="3"/>
        <v>0</v>
      </c>
      <c r="AI15" s="45">
        <f t="shared" si="4"/>
        <v>0</v>
      </c>
      <c r="AJ15" s="46" t="e">
        <f t="shared" si="5"/>
        <v>#DIV/0!</v>
      </c>
    </row>
    <row r="16" spans="1:36" x14ac:dyDescent="0.35">
      <c r="A16" s="25">
        <v>10</v>
      </c>
      <c r="B16" s="25" t="str">
        <f t="shared" si="2"/>
        <v>Text_user_010</v>
      </c>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41">
        <f t="shared" si="3"/>
        <v>0</v>
      </c>
      <c r="AI16" s="45">
        <f t="shared" si="4"/>
        <v>0</v>
      </c>
      <c r="AJ16" s="46" t="e">
        <f t="shared" si="5"/>
        <v>#DIV/0!</v>
      </c>
    </row>
    <row r="17" spans="1:36" x14ac:dyDescent="0.35">
      <c r="A17" s="25">
        <v>11</v>
      </c>
      <c r="B17" s="25" t="str">
        <f t="shared" si="2"/>
        <v>Text_user_011</v>
      </c>
      <c r="C17" s="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41">
        <f t="shared" si="3"/>
        <v>0</v>
      </c>
      <c r="AI17" s="45">
        <f t="shared" si="4"/>
        <v>0</v>
      </c>
      <c r="AJ17" s="46" t="e">
        <f t="shared" si="5"/>
        <v>#DIV/0!</v>
      </c>
    </row>
    <row r="18" spans="1:36" x14ac:dyDescent="0.35">
      <c r="A18" s="25">
        <v>12</v>
      </c>
      <c r="B18" s="25" t="str">
        <f t="shared" si="2"/>
        <v>Text_user_012</v>
      </c>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41">
        <f t="shared" si="3"/>
        <v>0</v>
      </c>
      <c r="AI18" s="45">
        <f t="shared" si="4"/>
        <v>0</v>
      </c>
      <c r="AJ18" s="46" t="e">
        <f t="shared" si="5"/>
        <v>#DIV/0!</v>
      </c>
    </row>
    <row r="19" spans="1:36" x14ac:dyDescent="0.35">
      <c r="A19" s="25">
        <v>13</v>
      </c>
      <c r="B19" s="25" t="str">
        <f t="shared" si="2"/>
        <v>Text_user_013</v>
      </c>
      <c r="C19" s="25"/>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41">
        <f t="shared" si="3"/>
        <v>0</v>
      </c>
      <c r="AI19" s="45">
        <f t="shared" si="4"/>
        <v>0</v>
      </c>
      <c r="AJ19" s="46" t="e">
        <f t="shared" si="5"/>
        <v>#DIV/0!</v>
      </c>
    </row>
    <row r="20" spans="1:36" x14ac:dyDescent="0.35">
      <c r="A20" s="25">
        <v>14</v>
      </c>
      <c r="B20" s="25" t="str">
        <f t="shared" si="2"/>
        <v>Text_user_014</v>
      </c>
      <c r="C20" s="25"/>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41">
        <f t="shared" si="3"/>
        <v>0</v>
      </c>
      <c r="AI20" s="45">
        <f t="shared" si="4"/>
        <v>0</v>
      </c>
      <c r="AJ20" s="46" t="e">
        <f t="shared" si="5"/>
        <v>#DIV/0!</v>
      </c>
    </row>
    <row r="21" spans="1:36" x14ac:dyDescent="0.35">
      <c r="A21" s="25">
        <v>15</v>
      </c>
      <c r="B21" s="25" t="str">
        <f t="shared" si="2"/>
        <v>Text_user_015</v>
      </c>
      <c r="C21" s="25"/>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41">
        <f t="shared" si="3"/>
        <v>0</v>
      </c>
      <c r="AI21" s="45">
        <f t="shared" si="4"/>
        <v>0</v>
      </c>
      <c r="AJ21" s="46" t="e">
        <f t="shared" si="5"/>
        <v>#DIV/0!</v>
      </c>
    </row>
    <row r="22" spans="1:36" x14ac:dyDescent="0.35">
      <c r="A22" s="25">
        <v>16</v>
      </c>
      <c r="B22" s="25" t="str">
        <f t="shared" si="2"/>
        <v>Text_user_016</v>
      </c>
      <c r="C22" s="25"/>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41">
        <f t="shared" si="3"/>
        <v>0</v>
      </c>
      <c r="AI22" s="45">
        <f t="shared" si="4"/>
        <v>0</v>
      </c>
      <c r="AJ22" s="46" t="e">
        <f t="shared" si="5"/>
        <v>#DIV/0!</v>
      </c>
    </row>
    <row r="23" spans="1:36" x14ac:dyDescent="0.35">
      <c r="A23" s="25">
        <v>17</v>
      </c>
      <c r="B23" s="25" t="str">
        <f t="shared" si="2"/>
        <v>Text_user_017</v>
      </c>
      <c r="C23" s="25"/>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41">
        <f t="shared" si="3"/>
        <v>0</v>
      </c>
      <c r="AI23" s="45">
        <f t="shared" si="4"/>
        <v>0</v>
      </c>
      <c r="AJ23" s="46" t="e">
        <f t="shared" si="5"/>
        <v>#DIV/0!</v>
      </c>
    </row>
    <row r="24" spans="1:36" x14ac:dyDescent="0.35">
      <c r="A24" s="25">
        <v>18</v>
      </c>
      <c r="B24" s="25" t="str">
        <f t="shared" si="2"/>
        <v>Text_user_018</v>
      </c>
      <c r="C24" s="25"/>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41">
        <f t="shared" si="3"/>
        <v>0</v>
      </c>
      <c r="AI24" s="45">
        <f t="shared" si="4"/>
        <v>0</v>
      </c>
      <c r="AJ24" s="46" t="e">
        <f t="shared" si="5"/>
        <v>#DIV/0!</v>
      </c>
    </row>
    <row r="25" spans="1:36" x14ac:dyDescent="0.35">
      <c r="A25" s="25">
        <v>19</v>
      </c>
      <c r="B25" s="25" t="str">
        <f t="shared" si="2"/>
        <v>Text_user_019</v>
      </c>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41">
        <f t="shared" si="3"/>
        <v>0</v>
      </c>
      <c r="AI25" s="45">
        <f t="shared" si="4"/>
        <v>0</v>
      </c>
      <c r="AJ25" s="46" t="e">
        <f t="shared" si="5"/>
        <v>#DIV/0!</v>
      </c>
    </row>
    <row r="26" spans="1:36" x14ac:dyDescent="0.35">
      <c r="A26" s="25">
        <v>20</v>
      </c>
      <c r="B26" s="25" t="str">
        <f t="shared" si="2"/>
        <v>Text_user_020</v>
      </c>
      <c r="C26" s="25"/>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41">
        <f t="shared" si="3"/>
        <v>0</v>
      </c>
      <c r="AI26" s="45">
        <f t="shared" si="4"/>
        <v>0</v>
      </c>
      <c r="AJ26" s="46" t="e">
        <f t="shared" si="5"/>
        <v>#DIV/0!</v>
      </c>
    </row>
    <row r="27" spans="1:36" x14ac:dyDescent="0.35">
      <c r="A27" s="25">
        <v>21</v>
      </c>
      <c r="B27" s="25" t="str">
        <f t="shared" si="2"/>
        <v>Text_user_021</v>
      </c>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41">
        <f t="shared" si="3"/>
        <v>0</v>
      </c>
      <c r="AI27" s="45">
        <f t="shared" si="4"/>
        <v>0</v>
      </c>
      <c r="AJ27" s="46" t="e">
        <f t="shared" si="5"/>
        <v>#DIV/0!</v>
      </c>
    </row>
    <row r="28" spans="1:36" x14ac:dyDescent="0.35">
      <c r="A28" s="25">
        <v>22</v>
      </c>
      <c r="B28" s="25" t="str">
        <f t="shared" si="2"/>
        <v>Text_user_022</v>
      </c>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41">
        <f t="shared" si="3"/>
        <v>0</v>
      </c>
      <c r="AI28" s="45">
        <f t="shared" si="4"/>
        <v>0</v>
      </c>
      <c r="AJ28" s="46" t="e">
        <f t="shared" si="5"/>
        <v>#DIV/0!</v>
      </c>
    </row>
    <row r="29" spans="1:36" x14ac:dyDescent="0.35">
      <c r="A29" s="25">
        <v>23</v>
      </c>
      <c r="B29" s="25" t="str">
        <f t="shared" si="2"/>
        <v>Text_user_023</v>
      </c>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41">
        <f t="shared" si="3"/>
        <v>0</v>
      </c>
      <c r="AI29" s="45">
        <f t="shared" si="4"/>
        <v>0</v>
      </c>
      <c r="AJ29" s="46" t="e">
        <f t="shared" si="5"/>
        <v>#DIV/0!</v>
      </c>
    </row>
  </sheetData>
  <mergeCells count="3">
    <mergeCell ref="A1:K1"/>
    <mergeCell ref="B5:B6"/>
    <mergeCell ref="A5:A6"/>
  </mergeCells>
  <conditionalFormatting sqref="C5:AG29 AI6:AI29">
    <cfRule type="expression" dxfId="0" priority="4">
      <formula>OR(WEEKDAY(C$5,11)=6,WEEKDAY(C$5,11)=7,COUNTIF(no_of_holidays,C$5)=1)</formula>
    </cfRule>
    <cfRule type="expression" dxfId="3" priority="3">
      <formula>C$5=""</formula>
    </cfRule>
  </conditionalFormatting>
  <conditionalFormatting sqref="C7:AG29">
    <cfRule type="expression" dxfId="2" priority="2">
      <formula>C7="P"</formula>
    </cfRule>
    <cfRule type="expression" dxfId="1" priority="1">
      <formula>C7="A"</formula>
    </cfRule>
  </conditionalFormatting>
  <dataValidations count="4">
    <dataValidation type="list" allowBlank="1" showInputMessage="1" showErrorMessage="1" sqref="B2" xr:uid="{4290E332-D6BC-41AF-BA8B-ABD42AAAAE76}">
      <formula1>months</formula1>
    </dataValidation>
    <dataValidation type="list" allowBlank="1" showInputMessage="1" showErrorMessage="1" sqref="B3" xr:uid="{4668F209-EFB0-4753-B9FF-74A4F376569C}">
      <formula1>no_of_years</formula1>
    </dataValidation>
    <dataValidation type="custom" allowBlank="1" showInputMessage="1" showErrorMessage="1" sqref="C5:AG6" xr:uid="{09023EEF-AE87-470E-AF90-E1C394307DC0}">
      <formula1>AND(NOT(OR(WEEKDAY(C$5,11)=6,WEEKDAY(C$5,11)=7,COUNTIF(no_of_holidays,C$5)=1)),OR(C7="P",C7="A"))</formula1>
    </dataValidation>
    <dataValidation type="custom" allowBlank="1" showInputMessage="1" showErrorMessage="1" errorTitle="Error" error="Please enter only A or P and in Holidays you can't able to update anything" sqref="C7:AG29" xr:uid="{485CD3E9-EEE1-4033-AEBF-D5E5454666B1}">
      <formula1>AND(NOT(OR(WEEKDAY(C$5,11)=6,WEEKDAY(C$5,11)=7,COUNTIF(no_of_holidays,C$5)=1)),OR(C7="P",C7="A"))</formula1>
    </dataValidation>
  </dataValidations>
  <pageMargins left="0.7" right="0.7" top="0.75" bottom="0.75" header="0.3" footer="0.3"/>
  <drawing r:id="rId1"/>
  <legacyDrawing r:id="rId2"/>
  <controls>
    <mc:AlternateContent xmlns:mc="http://schemas.openxmlformats.org/markup-compatibility/2006">
      <mc:Choice Requires="x14">
        <control shapeId="6151" r:id="rId3" name="CommandButton1">
          <controlPr defaultSize="0" autoLine="0" r:id="rId4">
            <anchor moveWithCells="1">
              <from>
                <xdr:col>3</xdr:col>
                <xdr:colOff>106680</xdr:colOff>
                <xdr:row>1</xdr:row>
                <xdr:rowOff>106680</xdr:rowOff>
              </from>
              <to>
                <xdr:col>6</xdr:col>
                <xdr:colOff>220980</xdr:colOff>
                <xdr:row>2</xdr:row>
                <xdr:rowOff>205740</xdr:rowOff>
              </to>
            </anchor>
          </controlPr>
        </control>
      </mc:Choice>
      <mc:Fallback>
        <control shapeId="6151" r:id="rId3" name="CommandButton1"/>
      </mc:Fallback>
    </mc:AlternateContent>
  </control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947B3-DF31-4A72-8ED4-AF725AC17A85}">
  <sheetPr codeName="Sheet7"/>
  <dimension ref="A1:G19"/>
  <sheetViews>
    <sheetView workbookViewId="0">
      <selection activeCell="J12" sqref="J12"/>
    </sheetView>
  </sheetViews>
  <sheetFormatPr defaultRowHeight="18" x14ac:dyDescent="0.35"/>
  <cols>
    <col min="7" max="7" width="9.9140625" bestFit="1" customWidth="1"/>
  </cols>
  <sheetData>
    <row r="1" spans="1:7" x14ac:dyDescent="0.35">
      <c r="A1" s="1" t="s">
        <v>104</v>
      </c>
      <c r="D1" t="s">
        <v>105</v>
      </c>
      <c r="G1" t="s">
        <v>122</v>
      </c>
    </row>
    <row r="2" spans="1:7" x14ac:dyDescent="0.35">
      <c r="A2" s="1">
        <v>2026</v>
      </c>
      <c r="D2" t="s">
        <v>106</v>
      </c>
      <c r="G2" s="6">
        <v>46048</v>
      </c>
    </row>
    <row r="3" spans="1:7" x14ac:dyDescent="0.35">
      <c r="A3" s="1">
        <v>2027</v>
      </c>
      <c r="D3" t="s">
        <v>107</v>
      </c>
      <c r="G3" s="6">
        <v>46037</v>
      </c>
    </row>
    <row r="4" spans="1:7" x14ac:dyDescent="0.35">
      <c r="A4" s="1">
        <v>2028</v>
      </c>
      <c r="D4" t="s">
        <v>108</v>
      </c>
      <c r="G4" s="6">
        <v>46102</v>
      </c>
    </row>
    <row r="5" spans="1:7" x14ac:dyDescent="0.35">
      <c r="A5" s="1">
        <v>2029</v>
      </c>
      <c r="D5" t="s">
        <v>109</v>
      </c>
      <c r="G5" s="6">
        <v>46112</v>
      </c>
    </row>
    <row r="6" spans="1:7" x14ac:dyDescent="0.35">
      <c r="A6" s="1">
        <v>2030</v>
      </c>
      <c r="D6" t="s">
        <v>110</v>
      </c>
      <c r="G6" s="6">
        <v>46115</v>
      </c>
    </row>
    <row r="7" spans="1:7" x14ac:dyDescent="0.35">
      <c r="A7" s="1">
        <v>2031</v>
      </c>
      <c r="D7" t="s">
        <v>111</v>
      </c>
      <c r="G7" s="6">
        <v>46143</v>
      </c>
    </row>
    <row r="8" spans="1:7" x14ac:dyDescent="0.35">
      <c r="A8" s="1">
        <v>2032</v>
      </c>
      <c r="D8" t="s">
        <v>112</v>
      </c>
      <c r="G8" s="6">
        <v>46143</v>
      </c>
    </row>
    <row r="9" spans="1:7" x14ac:dyDescent="0.35">
      <c r="A9" s="1">
        <v>2033</v>
      </c>
      <c r="D9" t="s">
        <v>113</v>
      </c>
      <c r="G9" s="6">
        <v>46170</v>
      </c>
    </row>
    <row r="10" spans="1:7" x14ac:dyDescent="0.35">
      <c r="A10" s="1">
        <v>2034</v>
      </c>
      <c r="D10" t="s">
        <v>114</v>
      </c>
      <c r="G10" s="6">
        <v>46199</v>
      </c>
    </row>
    <row r="11" spans="1:7" x14ac:dyDescent="0.35">
      <c r="A11" s="1">
        <v>2035</v>
      </c>
      <c r="D11" t="s">
        <v>115</v>
      </c>
      <c r="G11" s="6">
        <v>46249</v>
      </c>
    </row>
    <row r="12" spans="1:7" x14ac:dyDescent="0.35">
      <c r="A12" s="1">
        <v>2036</v>
      </c>
      <c r="D12" t="s">
        <v>116</v>
      </c>
      <c r="G12" s="6">
        <v>46260</v>
      </c>
    </row>
    <row r="13" spans="1:7" x14ac:dyDescent="0.35">
      <c r="A13" s="1">
        <v>2037</v>
      </c>
      <c r="D13" t="s">
        <v>117</v>
      </c>
      <c r="G13" s="6">
        <v>46279</v>
      </c>
    </row>
    <row r="14" spans="1:7" x14ac:dyDescent="0.35">
      <c r="G14" s="6">
        <v>46297</v>
      </c>
    </row>
    <row r="15" spans="1:7" x14ac:dyDescent="0.35">
      <c r="G15" s="6">
        <v>46315</v>
      </c>
    </row>
    <row r="16" spans="1:7" x14ac:dyDescent="0.35">
      <c r="G16" s="6">
        <v>46334</v>
      </c>
    </row>
    <row r="17" spans="7:7" x14ac:dyDescent="0.35">
      <c r="G17" s="6">
        <v>46350</v>
      </c>
    </row>
    <row r="18" spans="7:7" x14ac:dyDescent="0.35">
      <c r="G18" s="6">
        <v>46381</v>
      </c>
    </row>
    <row r="19" spans="7:7" x14ac:dyDescent="0.35">
      <c r="G19" s="6">
        <v>46023</v>
      </c>
    </row>
  </sheetData>
  <phoneticPr fontId="7" type="noConversion"/>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Task 1</vt:lpstr>
      <vt:lpstr>Pivot table</vt:lpstr>
      <vt:lpstr>pivot chart</vt:lpstr>
      <vt:lpstr>Task 3</vt:lpstr>
      <vt:lpstr>Sheet1</vt:lpstr>
      <vt:lpstr>Attendance</vt:lpstr>
      <vt:lpstr>utils</vt:lpstr>
      <vt:lpstr>months</vt:lpstr>
      <vt:lpstr>no_of_holidays</vt:lpstr>
      <vt:lpstr>no_of_years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 kumar</dc:creator>
  <cp:lastModifiedBy>Raj kumar</cp:lastModifiedBy>
  <dcterms:created xsi:type="dcterms:W3CDTF">2026-09-22T10:18:22Z</dcterms:created>
  <dcterms:modified xsi:type="dcterms:W3CDTF">2026-09-27T10:48:53Z</dcterms:modified>
</cp:coreProperties>
</file>