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iit\Excel_practice\"/>
    </mc:Choice>
  </mc:AlternateContent>
  <xr:revisionPtr revIDLastSave="0" documentId="13_ncr:1_{9EC96A86-9705-4FD8-8B7F-DF66EA050E22}" xr6:coauthVersionLast="47" xr6:coauthVersionMax="47" xr10:uidLastSave="{00000000-0000-0000-0000-000000000000}"/>
  <bookViews>
    <workbookView xWindow="-108" yWindow="-108" windowWidth="23256" windowHeight="12456" activeTab="1" xr2:uid="{9582A52E-1B81-4984-BBE7-A03F4D74D0D3}"/>
  </bookViews>
  <sheets>
    <sheet name="Task 1" sheetId="1" r:id="rId1"/>
    <sheet name="Task 3" sheetId="4" r:id="rId2"/>
    <sheet name="Sheet1" sheetId="3" r:id="rId3"/>
    <sheet name="Sheet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1" i="4" l="1"/>
  <c r="J92" i="4"/>
  <c r="J90" i="4"/>
  <c r="I91" i="4"/>
  <c r="I92" i="4"/>
  <c r="I90" i="4"/>
  <c r="H91" i="4"/>
  <c r="H92" i="4"/>
  <c r="H90" i="4"/>
  <c r="G91" i="4"/>
  <c r="G92" i="4"/>
  <c r="G90" i="4"/>
  <c r="F91" i="4"/>
  <c r="F92" i="4"/>
  <c r="F90" i="4"/>
  <c r="E91" i="4"/>
  <c r="E92" i="4"/>
  <c r="E90" i="4"/>
  <c r="D91" i="4"/>
  <c r="D92" i="4"/>
  <c r="D90" i="4"/>
  <c r="C91" i="4"/>
  <c r="C92" i="4"/>
  <c r="C90" i="4"/>
  <c r="B91" i="4"/>
  <c r="B92" i="4"/>
  <c r="B90" i="4"/>
  <c r="C73" i="4"/>
  <c r="C72" i="4"/>
  <c r="B73" i="4"/>
  <c r="C84" i="4"/>
  <c r="F71" i="4"/>
  <c r="G71" i="4"/>
  <c r="F72" i="4"/>
  <c r="I72" i="4" s="1"/>
  <c r="G72" i="4"/>
  <c r="F73" i="4"/>
  <c r="G73" i="4"/>
  <c r="J73" i="4" s="1"/>
  <c r="F74" i="4"/>
  <c r="G74" i="4"/>
  <c r="F75" i="4"/>
  <c r="G75" i="4"/>
  <c r="J75" i="4" s="1"/>
  <c r="E71" i="4"/>
  <c r="E72" i="4"/>
  <c r="E73" i="4"/>
  <c r="E74" i="4"/>
  <c r="E75" i="4"/>
  <c r="A83" i="4"/>
  <c r="E83" i="4" s="1"/>
  <c r="B64" i="4"/>
  <c r="O3" i="4"/>
  <c r="O4" i="4"/>
  <c r="B74" i="4" s="1"/>
  <c r="O5" i="4"/>
  <c r="D73" i="4" s="1"/>
  <c r="O6" i="4"/>
  <c r="D74" i="4" s="1"/>
  <c r="O7" i="4"/>
  <c r="O8" i="4"/>
  <c r="O9" i="4"/>
  <c r="O10" i="4"/>
  <c r="O11" i="4"/>
  <c r="O12" i="4"/>
  <c r="C74" i="4" s="1"/>
  <c r="O13" i="4"/>
  <c r="B59" i="4" s="1"/>
  <c r="O14" i="4"/>
  <c r="O15" i="4"/>
  <c r="D75" i="4" s="1"/>
  <c r="O16" i="4"/>
  <c r="O17" i="4"/>
  <c r="O18" i="4"/>
  <c r="D71" i="4" s="1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C75" i="4" s="1"/>
  <c r="O32" i="4"/>
  <c r="O33" i="4"/>
  <c r="O34" i="4"/>
  <c r="O35" i="4"/>
  <c r="O36" i="4"/>
  <c r="O37" i="4"/>
  <c r="O38" i="4"/>
  <c r="O39" i="4"/>
  <c r="O40" i="4"/>
  <c r="C82" i="4" s="1"/>
  <c r="O41" i="4"/>
  <c r="B71" i="4" s="1"/>
  <c r="O42" i="4"/>
  <c r="B72" i="4" s="1"/>
  <c r="O43" i="4"/>
  <c r="O44" i="4"/>
  <c r="O45" i="4"/>
  <c r="O46" i="4"/>
  <c r="O47" i="4"/>
  <c r="B75" i="4" s="1"/>
  <c r="O48" i="4"/>
  <c r="O49" i="4"/>
  <c r="O50" i="4"/>
  <c r="O2" i="4"/>
  <c r="C71" i="4" s="1"/>
  <c r="E70" i="3"/>
  <c r="F70" i="3"/>
  <c r="G70" i="3"/>
  <c r="H70" i="3"/>
  <c r="E71" i="3"/>
  <c r="F71" i="3"/>
  <c r="G71" i="3"/>
  <c r="H71" i="3"/>
  <c r="E72" i="3"/>
  <c r="F72" i="3"/>
  <c r="G72" i="3"/>
  <c r="H72" i="3"/>
  <c r="F69" i="3"/>
  <c r="G69" i="3"/>
  <c r="H69" i="3"/>
  <c r="E69" i="3"/>
  <c r="F60" i="3"/>
  <c r="F61" i="3"/>
  <c r="F59" i="3"/>
  <c r="G45" i="3"/>
  <c r="G46" i="3"/>
  <c r="G47" i="3"/>
  <c r="G48" i="3"/>
  <c r="G49" i="3"/>
  <c r="G50" i="3"/>
  <c r="G51" i="3"/>
  <c r="G52" i="3"/>
  <c r="G53" i="3"/>
  <c r="G44" i="3"/>
  <c r="E27" i="3"/>
  <c r="F27" i="3"/>
  <c r="G27" i="3"/>
  <c r="H27" i="3"/>
  <c r="I27" i="3"/>
  <c r="J27" i="3"/>
  <c r="D27" i="3"/>
  <c r="E26" i="3"/>
  <c r="F26" i="3"/>
  <c r="G26" i="3"/>
  <c r="H26" i="3"/>
  <c r="I26" i="3"/>
  <c r="J26" i="3"/>
  <c r="D26" i="3"/>
  <c r="E19" i="3"/>
  <c r="E20" i="3"/>
  <c r="E18" i="3"/>
  <c r="F6" i="3"/>
  <c r="F7" i="3"/>
  <c r="F8" i="3"/>
  <c r="F9" i="3"/>
  <c r="F10" i="3"/>
  <c r="F11" i="3"/>
  <c r="F12" i="3"/>
  <c r="F13" i="3"/>
  <c r="F14" i="3"/>
  <c r="F5" i="3"/>
  <c r="L4" i="1"/>
  <c r="L5" i="1"/>
  <c r="L6" i="1"/>
  <c r="L7" i="1"/>
  <c r="L8" i="1"/>
  <c r="K5" i="1"/>
  <c r="K6" i="1"/>
  <c r="K7" i="1"/>
  <c r="K8" i="1"/>
  <c r="K4" i="1"/>
  <c r="I5" i="1"/>
  <c r="I6" i="1"/>
  <c r="I7" i="1"/>
  <c r="I8" i="1"/>
  <c r="J5" i="1"/>
  <c r="J6" i="1"/>
  <c r="J7" i="1"/>
  <c r="J8" i="1"/>
  <c r="I4" i="1"/>
  <c r="J4" i="1" s="1"/>
  <c r="H5" i="1"/>
  <c r="H6" i="1"/>
  <c r="H7" i="1"/>
  <c r="H8" i="1"/>
  <c r="H4" i="1"/>
  <c r="C85" i="4" l="1"/>
  <c r="D72" i="4"/>
  <c r="I71" i="4"/>
  <c r="C83" i="4"/>
  <c r="J71" i="4"/>
  <c r="G77" i="4"/>
  <c r="H71" i="4"/>
  <c r="C81" i="4"/>
  <c r="F77" i="4"/>
  <c r="J74" i="4"/>
  <c r="I73" i="4"/>
  <c r="I75" i="4"/>
  <c r="I74" i="4"/>
  <c r="J72" i="4"/>
  <c r="J77" i="4" s="1"/>
  <c r="H72" i="4"/>
  <c r="E77" i="4"/>
  <c r="H75" i="4"/>
  <c r="H74" i="4"/>
  <c r="H73" i="4"/>
  <c r="B84" i="4"/>
  <c r="B65" i="4"/>
  <c r="B62" i="4"/>
  <c r="B83" i="4"/>
  <c r="B63" i="4"/>
  <c r="A81" i="4"/>
  <c r="E81" i="4" s="1"/>
  <c r="A84" i="4"/>
  <c r="E84" i="4" s="1"/>
  <c r="B81" i="4"/>
  <c r="B82" i="4"/>
  <c r="B85" i="4"/>
  <c r="A82" i="4"/>
  <c r="E82" i="4" s="1"/>
  <c r="B66" i="4"/>
  <c r="A85" i="4"/>
  <c r="E85" i="4" s="1"/>
  <c r="B55" i="4"/>
  <c r="H77" i="4" l="1"/>
  <c r="I77" i="4"/>
</calcChain>
</file>

<file path=xl/sharedStrings.xml><?xml version="1.0" encoding="utf-8"?>
<sst xmlns="http://schemas.openxmlformats.org/spreadsheetml/2006/main" count="442" uniqueCount="106">
  <si>
    <t>S.No</t>
  </si>
  <si>
    <t>SUBJECT</t>
  </si>
  <si>
    <t>NAME</t>
  </si>
  <si>
    <t>TAMIL</t>
  </si>
  <si>
    <t>ENGLISH</t>
  </si>
  <si>
    <t>MATHS</t>
  </si>
  <si>
    <t>SCIENCE</t>
  </si>
  <si>
    <t>SOCIAL</t>
  </si>
  <si>
    <t>TOTAL</t>
  </si>
  <si>
    <t>AVERAGE</t>
  </si>
  <si>
    <t>GRADE</t>
  </si>
  <si>
    <t>RANK</t>
  </si>
  <si>
    <t>RESULT</t>
  </si>
  <si>
    <t>Ganesh</t>
  </si>
  <si>
    <t>Naren</t>
  </si>
  <si>
    <t>Giri</t>
  </si>
  <si>
    <t>Raj</t>
  </si>
  <si>
    <t>Sasi</t>
  </si>
  <si>
    <t>STUDENT MARK SHEET</t>
  </si>
  <si>
    <t>Cell Reference</t>
  </si>
  <si>
    <t>Quantiy</t>
  </si>
  <si>
    <t>Rate</t>
  </si>
  <si>
    <t>price</t>
  </si>
  <si>
    <t>Relative cell reference</t>
  </si>
  <si>
    <t>Price</t>
  </si>
  <si>
    <t>Tax</t>
  </si>
  <si>
    <t>Name</t>
  </si>
  <si>
    <t>Electric base model</t>
  </si>
  <si>
    <t>medium model</t>
  </si>
  <si>
    <t>top end model</t>
  </si>
  <si>
    <t>Total</t>
  </si>
  <si>
    <t>mixed reference</t>
  </si>
  <si>
    <t>HTML</t>
  </si>
  <si>
    <t>JS</t>
  </si>
  <si>
    <t>Java</t>
  </si>
  <si>
    <t>cell reference</t>
  </si>
  <si>
    <t xml:space="preserve">Relative </t>
  </si>
  <si>
    <t>absolute</t>
  </si>
  <si>
    <t>mixed</t>
  </si>
  <si>
    <t>total</t>
  </si>
  <si>
    <t xml:space="preserve"> fixed</t>
  </si>
  <si>
    <t>Bike amount</t>
  </si>
  <si>
    <t>tax amount</t>
  </si>
  <si>
    <t xml:space="preserve">mixed </t>
  </si>
  <si>
    <t>Date</t>
  </si>
  <si>
    <t>Region</t>
  </si>
  <si>
    <t>Product</t>
  </si>
  <si>
    <t>Quantity</t>
  </si>
  <si>
    <t>UnitPrice</t>
  </si>
  <si>
    <t>StoreLocation</t>
  </si>
  <si>
    <t>CustomerType</t>
  </si>
  <si>
    <t>Discount</t>
  </si>
  <si>
    <t>Salesperson</t>
  </si>
  <si>
    <t>PaymentMethod</t>
  </si>
  <si>
    <t>Returned</t>
  </si>
  <si>
    <t>OrderDate</t>
  </si>
  <si>
    <t>DeliveryDate</t>
  </si>
  <si>
    <t>RegionManager</t>
  </si>
  <si>
    <t>East</t>
  </si>
  <si>
    <t>Laptop</t>
  </si>
  <si>
    <t>Store B</t>
  </si>
  <si>
    <t>Wholesale</t>
  </si>
  <si>
    <t>Eva</t>
  </si>
  <si>
    <t>Online</t>
  </si>
  <si>
    <t>Eric</t>
  </si>
  <si>
    <t>South</t>
  </si>
  <si>
    <t>Phone</t>
  </si>
  <si>
    <t>Store A</t>
  </si>
  <si>
    <t>Retail</t>
  </si>
  <si>
    <t>Alice</t>
  </si>
  <si>
    <t>Gift Card</t>
  </si>
  <si>
    <t>Sophie</t>
  </si>
  <si>
    <t>North</t>
  </si>
  <si>
    <t>Desk</t>
  </si>
  <si>
    <t>Ryan</t>
  </si>
  <si>
    <t>Central</t>
  </si>
  <si>
    <t>Chair</t>
  </si>
  <si>
    <t>Frank</t>
  </si>
  <si>
    <t>Cameron</t>
  </si>
  <si>
    <t>Store C</t>
  </si>
  <si>
    <t>Carlos</t>
  </si>
  <si>
    <t>Monitor</t>
  </si>
  <si>
    <t>Store D</t>
  </si>
  <si>
    <t>Diana</t>
  </si>
  <si>
    <t>Credit Card</t>
  </si>
  <si>
    <t>Debit Card</t>
  </si>
  <si>
    <t>Cash</t>
  </si>
  <si>
    <t>Bob</t>
  </si>
  <si>
    <t>West</t>
  </si>
  <si>
    <t>Wendy</t>
  </si>
  <si>
    <t>Tablet</t>
  </si>
  <si>
    <t>Printer</t>
  </si>
  <si>
    <t xml:space="preserve">Year </t>
  </si>
  <si>
    <t>Total sales</t>
  </si>
  <si>
    <t>Total Sale</t>
  </si>
  <si>
    <t>Product Sales in 2023</t>
  </si>
  <si>
    <t xml:space="preserve">Laptop   </t>
  </si>
  <si>
    <t>Total sales by Year</t>
  </si>
  <si>
    <t>Average  (2023)</t>
  </si>
  <si>
    <t>Average  (2024)</t>
  </si>
  <si>
    <t>Average  (2025)</t>
  </si>
  <si>
    <t>Error</t>
  </si>
  <si>
    <t>Sale count</t>
  </si>
  <si>
    <t xml:space="preserve">Percentage of sale </t>
  </si>
  <si>
    <t>Total sale price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</si>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</sst>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yyyy\-mm\-dd"/>
    <numFmt numFmtId="172" formatCode="&quot;₹&quot;\ #,##0.00"/>
  </numFmts>
  <fonts count="7" x14ac:knownFonts="1"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/>
  </cellStyleXfs>
  <cellXfs count="40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5" borderId="0" xfId="0" applyFill="1"/>
    <xf numFmtId="14" fontId="0" fillId="0" borderId="0" xfId="0" applyNumberFormat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0" xfId="1"/>
    <xf numFmtId="0" fontId="5" fillId="0" borderId="1" xfId="1" applyFont="1" applyBorder="1" applyAlignment="1">
      <alignment horizontal="center" vertical="top"/>
    </xf>
    <xf numFmtId="168" fontId="4" fillId="0" borderId="0" xfId="1" applyNumberFormat="1"/>
    <xf numFmtId="0" fontId="5" fillId="0" borderId="2" xfId="1" applyFont="1" applyFill="1" applyBorder="1" applyAlignment="1">
      <alignment horizontal="center" vertical="top"/>
    </xf>
    <xf numFmtId="0" fontId="4" fillId="0" borderId="0" xfId="1" applyNumberFormat="1"/>
    <xf numFmtId="0" fontId="0" fillId="0" borderId="0" xfId="0" applyNumberFormat="1"/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0" fillId="0" borderId="1" xfId="0" applyBorder="1"/>
    <xf numFmtId="0" fontId="2" fillId="10" borderId="1" xfId="0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10" fontId="1" fillId="14" borderId="0" xfId="0" applyNumberFormat="1" applyFont="1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10" fontId="0" fillId="17" borderId="0" xfId="0" applyNumberFormat="1" applyFill="1" applyAlignment="1">
      <alignment horizontal="center" vertical="center"/>
    </xf>
    <xf numFmtId="0" fontId="2" fillId="14" borderId="0" xfId="0" applyFont="1" applyFill="1"/>
    <xf numFmtId="172" fontId="1" fillId="8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838E1F74-091B-422A-8F25-11DC4903382E}"/>
  </cellStyles>
  <dxfs count="35">
    <dxf>
      <fill>
        <gradientFill degree="90">
          <stop position="0">
            <color theme="9" tint="-0.25098422193060094"/>
          </stop>
          <stop position="1">
            <color theme="8" tint="-0.49803155613879818"/>
          </stop>
        </gradientFill>
      </fill>
    </dxf>
    <dxf>
      <fill>
        <gradientFill degree="90">
          <stop position="0">
            <color theme="9" tint="-0.25098422193060094"/>
          </stop>
          <stop position="1">
            <color theme="9" tint="-0.49803155613879818"/>
          </stop>
        </gradientFill>
      </fill>
    </dxf>
    <dxf>
      <fill>
        <gradientFill degree="90">
          <stop position="0">
            <color theme="7" tint="0.40000610370189521"/>
          </stop>
          <stop position="1">
            <color theme="7" tint="-0.25098422193060094"/>
          </stop>
        </gradientFill>
      </fill>
    </dxf>
    <dxf>
      <fill>
        <gradientFill degree="90">
          <stop position="0">
            <color rgb="FF10A872"/>
          </stop>
          <stop position="1">
            <color rgb="FFFFFF00"/>
          </stop>
        </gradientFill>
      </fill>
    </dxf>
    <dxf>
      <fill>
        <gradientFill degree="90">
          <stop position="0">
            <color theme="5" tint="0.40000610370189521"/>
          </stop>
          <stop position="1">
            <color theme="5" tint="-0.49803155613879818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9" tint="-0.25098422193060094"/>
          </stop>
          <stop position="1">
            <color theme="8" tint="-0.49803155613879818"/>
          </stop>
        </gradientFill>
      </fill>
    </dxf>
    <dxf>
      <fill>
        <gradientFill degree="90">
          <stop position="0">
            <color theme="9" tint="-0.25098422193060094"/>
          </stop>
          <stop position="1">
            <color theme="9" tint="-0.49803155613879818"/>
          </stop>
        </gradientFill>
      </fill>
    </dxf>
    <dxf>
      <fill>
        <gradientFill degree="90">
          <stop position="0">
            <color theme="7" tint="0.40000610370189521"/>
          </stop>
          <stop position="1">
            <color theme="7" tint="-0.25098422193060094"/>
          </stop>
        </gradientFill>
      </fill>
    </dxf>
    <dxf>
      <fill>
        <gradientFill degree="90">
          <stop position="0">
            <color rgb="FF10A872"/>
          </stop>
          <stop position="1">
            <color rgb="FFFFFF00"/>
          </stop>
        </gradientFill>
      </fill>
    </dxf>
    <dxf>
      <fill>
        <gradientFill degree="270">
          <stop position="0">
            <color theme="7" tint="0.40000610370189521"/>
          </stop>
          <stop position="1">
            <color theme="7" tint="-0.25098422193060094"/>
          </stop>
        </gradient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9" tint="-0.25098422193060094"/>
          </stop>
          <stop position="1">
            <color theme="8" tint="-0.49803155613879818"/>
          </stop>
        </gradientFill>
      </fill>
    </dxf>
    <dxf>
      <fill>
        <gradientFill degree="90">
          <stop position="0">
            <color theme="9" tint="-0.25098422193060094"/>
          </stop>
          <stop position="1">
            <color theme="9" tint="-0.49803155613879818"/>
          </stop>
        </gradientFill>
      </fill>
    </dxf>
    <dxf>
      <fill>
        <gradientFill degree="90">
          <stop position="0">
            <color theme="7" tint="0.40000610370189521"/>
          </stop>
          <stop position="1">
            <color theme="7" tint="-0.25098422193060094"/>
          </stop>
        </gradientFill>
      </fill>
    </dxf>
    <dxf>
      <fill>
        <gradientFill degree="90">
          <stop position="0">
            <color theme="7" tint="0.40000610370189521"/>
          </stop>
          <stop position="1">
            <color theme="7" tint="-0.25098422193060094"/>
          </stop>
        </gradientFill>
      </fill>
    </dxf>
    <dxf>
      <fill>
        <gradientFill degree="270">
          <stop position="0">
            <color theme="7" tint="0.40000610370189521"/>
          </stop>
          <stop position="1">
            <color theme="7" tint="-0.25098422193060094"/>
          </stop>
        </gradient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gradientFill degree="90">
          <stop position="0">
            <color theme="5" tint="0.59999389629810485"/>
          </stop>
          <stop position="1">
            <color rgb="FF4472C4"/>
          </stop>
        </gradient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10A8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'Task 1'!$H$2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'Task 1'!$B$3:$B$8</c:f>
              <c:strCache>
                <c:ptCount val="6"/>
                <c:pt idx="1">
                  <c:v>Ganesh</c:v>
                </c:pt>
                <c:pt idx="2">
                  <c:v>Naren</c:v>
                </c:pt>
                <c:pt idx="3">
                  <c:v>Giri</c:v>
                </c:pt>
                <c:pt idx="4">
                  <c:v>Raj</c:v>
                </c:pt>
                <c:pt idx="5">
                  <c:v>Sasi</c:v>
                </c:pt>
              </c:strCache>
            </c:strRef>
          </c:cat>
          <c:val>
            <c:numRef>
              <c:f>'Task 1'!$H$3:$H$8</c:f>
              <c:numCache>
                <c:formatCode>General</c:formatCode>
                <c:ptCount val="6"/>
                <c:pt idx="1">
                  <c:v>342</c:v>
                </c:pt>
                <c:pt idx="2">
                  <c:v>257</c:v>
                </c:pt>
                <c:pt idx="3">
                  <c:v>334</c:v>
                </c:pt>
                <c:pt idx="4">
                  <c:v>347</c:v>
                </c:pt>
                <c:pt idx="5">
                  <c:v>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1A-4943-98D1-F1D667AD86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117035328"/>
        <c:axId val="1875344592"/>
      </c:barChart>
      <c:catAx>
        <c:axId val="211703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5344592"/>
        <c:crosses val="autoZero"/>
        <c:auto val="1"/>
        <c:lblAlgn val="ctr"/>
        <c:lblOffset val="100"/>
        <c:noMultiLvlLbl val="0"/>
      </c:catAx>
      <c:valAx>
        <c:axId val="187534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03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'Task 1'!$I$2</c:f>
              <c:strCache>
                <c:ptCount val="1"/>
                <c:pt idx="0">
                  <c:v>AVERAGE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83-4466-BEAC-E33910ACAD3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B83-4466-BEAC-E33910ACAD3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B83-4466-BEAC-E33910ACAD3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B83-4466-BEAC-E33910ACAD3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B83-4466-BEAC-E33910ACAD34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B83-4466-BEAC-E33910ACAD3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'Task 1'!$B$3:$B$8</c:f>
              <c:strCache>
                <c:ptCount val="6"/>
                <c:pt idx="1">
                  <c:v>Ganesh</c:v>
                </c:pt>
                <c:pt idx="2">
                  <c:v>Naren</c:v>
                </c:pt>
                <c:pt idx="3">
                  <c:v>Giri</c:v>
                </c:pt>
                <c:pt idx="4">
                  <c:v>Raj</c:v>
                </c:pt>
                <c:pt idx="5">
                  <c:v>Sasi</c:v>
                </c:pt>
              </c:strCache>
            </c:strRef>
          </c:cat>
          <c:val>
            <c:numRef>
              <c:f>'Task 1'!$I$3:$I$8</c:f>
              <c:numCache>
                <c:formatCode>General</c:formatCode>
                <c:ptCount val="6"/>
                <c:pt idx="1">
                  <c:v>68.400000000000006</c:v>
                </c:pt>
                <c:pt idx="2">
                  <c:v>51.4</c:v>
                </c:pt>
                <c:pt idx="3">
                  <c:v>66.8</c:v>
                </c:pt>
                <c:pt idx="4">
                  <c:v>69.400000000000006</c:v>
                </c:pt>
                <c:pt idx="5">
                  <c:v>72.599999999999994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5-4D2C-AFE2-71D17EB15B0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101077</xdr:colOff>
      <xdr:row>8</xdr:row>
      <xdr:rowOff>199690</xdr:rowOff>
    </xdr:from>
    <xdr:to>
      <xdr:col>5</xdr:col>
      <xdr:colOff>531831</xdr:colOff>
      <xdr:row>20</xdr:row>
      <xdr:rowOff>199689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6A48EE-6D35-8810-A9EA-02F999AE4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149486</xdr:colOff>
      <xdr:row>8</xdr:row>
      <xdr:rowOff>197448</xdr:rowOff>
    </xdr:from>
    <xdr:to>
      <xdr:col>11</xdr:col>
      <xdr:colOff>755501</xdr:colOff>
      <xdr:row>20</xdr:row>
      <xdr:rowOff>197448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A1B13F-CD28-75FF-C75F-ADBCD1524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E12B-972A-40A9-953C-C64BA2031B55}">
  <dimension ref="A1:L8"/>
  <sheetViews>
    <sheetView topLeftCell="B1" zoomScale="130" zoomScaleNormal="130" workbookViewId="0">
      <selection activeCell="D5" sqref="D5"/>
    </sheetView>
  </sheetViews>
  <sheetFormatPr defaultRowHeight="18" x14ac:dyDescent="0.35"/>
  <cols>
    <col min="1" max="1" width="8.6640625" style="1"/>
    <col min="2" max="2" width="10.58203125" style="1" customWidth="1"/>
    <col min="3" max="12" width="8.6640625" style="1"/>
  </cols>
  <sheetData>
    <row r="1" spans="1:12" ht="35.4" customHeight="1" x14ac:dyDescent="0.35">
      <c r="A1" s="9" t="s">
        <v>18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28.2" customHeight="1" x14ac:dyDescent="0.35">
      <c r="A2" s="8" t="s">
        <v>0</v>
      </c>
      <c r="B2" s="8" t="s">
        <v>2</v>
      </c>
      <c r="C2" s="9" t="s">
        <v>1</v>
      </c>
      <c r="D2" s="9"/>
      <c r="E2" s="9"/>
      <c r="F2" s="9"/>
      <c r="G2" s="9"/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</row>
    <row r="3" spans="1:12" ht="26.4" customHeight="1" x14ac:dyDescent="0.35">
      <c r="A3" s="8"/>
      <c r="B3" s="8"/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8"/>
      <c r="I3" s="8"/>
      <c r="J3" s="8"/>
      <c r="K3" s="8"/>
      <c r="L3" s="8"/>
    </row>
    <row r="4" spans="1:12" x14ac:dyDescent="0.35">
      <c r="A4" s="3">
        <v>1</v>
      </c>
      <c r="B4" s="4" t="s">
        <v>13</v>
      </c>
      <c r="C4" s="3">
        <v>64</v>
      </c>
      <c r="D4" s="3">
        <v>70</v>
      </c>
      <c r="E4" s="3">
        <v>54</v>
      </c>
      <c r="F4" s="3">
        <v>54</v>
      </c>
      <c r="G4" s="3">
        <v>100</v>
      </c>
      <c r="H4" s="3">
        <f>SUM(C4:G4)</f>
        <v>342</v>
      </c>
      <c r="I4" s="3">
        <f>AVERAGE(C4:G4)</f>
        <v>68.400000000000006</v>
      </c>
      <c r="J4" s="3" t="str">
        <f>IF(I4&gt;= 90,"A", IF(I4&gt;=80, "B", IF(I4 &gt;= 70, "C", IF(I4 &gt;= 50, "D", "Fail"))))</f>
        <v>D</v>
      </c>
      <c r="K4" s="3">
        <f>RANK(H4,H$4:H$8)</f>
        <v>3</v>
      </c>
      <c r="L4" s="3" t="str">
        <f>IF(AND( C4&gt;=35,D4&gt;=35,E4&gt;=35,F4&gt;=35,G4&gt;=35), "Pass","Fail")</f>
        <v>Pass</v>
      </c>
    </row>
    <row r="5" spans="1:12" x14ac:dyDescent="0.35">
      <c r="A5" s="3">
        <v>2</v>
      </c>
      <c r="B5" s="4" t="s">
        <v>14</v>
      </c>
      <c r="C5" s="3">
        <v>31</v>
      </c>
      <c r="D5" s="3">
        <v>59</v>
      </c>
      <c r="E5" s="3">
        <v>34</v>
      </c>
      <c r="F5" s="3">
        <v>95</v>
      </c>
      <c r="G5" s="3">
        <v>38</v>
      </c>
      <c r="H5" s="3">
        <f t="shared" ref="H5:H8" si="0">SUM(C5:G5)</f>
        <v>257</v>
      </c>
      <c r="I5" s="3">
        <f t="shared" ref="I5:I8" si="1">AVERAGE(C5:G5)</f>
        <v>51.4</v>
      </c>
      <c r="J5" s="3" t="str">
        <f t="shared" ref="J5:J8" si="2">IF(I5&gt;= 90,"A", IF(I5&gt;=80, "B", IF(I5 &gt;= 70, "C", IF(I5 &gt;= 50, "D", "Fail"))))</f>
        <v>D</v>
      </c>
      <c r="K5" s="3">
        <f t="shared" ref="K5:K8" si="3">RANK(H5,H$4:H$8)</f>
        <v>5</v>
      </c>
      <c r="L5" s="3" t="str">
        <f t="shared" ref="L5:L8" si="4">IF(AND( C5&gt;=35,D5&gt;=35,E5&gt;=35,F5&gt;=35,G5&gt;=35), "Pass","Fail")</f>
        <v>Fail</v>
      </c>
    </row>
    <row r="6" spans="1:12" x14ac:dyDescent="0.35">
      <c r="A6" s="3">
        <v>3</v>
      </c>
      <c r="B6" s="4" t="s">
        <v>15</v>
      </c>
      <c r="C6" s="3">
        <v>53</v>
      </c>
      <c r="D6" s="3">
        <v>81</v>
      </c>
      <c r="E6" s="3">
        <v>85</v>
      </c>
      <c r="F6" s="3">
        <v>30</v>
      </c>
      <c r="G6" s="3">
        <v>85</v>
      </c>
      <c r="H6" s="3">
        <f t="shared" si="0"/>
        <v>334</v>
      </c>
      <c r="I6" s="3">
        <f t="shared" si="1"/>
        <v>66.8</v>
      </c>
      <c r="J6" s="3" t="str">
        <f t="shared" si="2"/>
        <v>D</v>
      </c>
      <c r="K6" s="3">
        <f t="shared" si="3"/>
        <v>4</v>
      </c>
      <c r="L6" s="3" t="str">
        <f t="shared" si="4"/>
        <v>Fail</v>
      </c>
    </row>
    <row r="7" spans="1:12" x14ac:dyDescent="0.35">
      <c r="A7" s="3">
        <v>4</v>
      </c>
      <c r="B7" s="4" t="s">
        <v>16</v>
      </c>
      <c r="C7" s="3">
        <v>73</v>
      </c>
      <c r="D7" s="3">
        <v>49</v>
      </c>
      <c r="E7" s="3">
        <v>76</v>
      </c>
      <c r="F7" s="3">
        <v>71</v>
      </c>
      <c r="G7" s="3">
        <v>78</v>
      </c>
      <c r="H7" s="3">
        <f t="shared" si="0"/>
        <v>347</v>
      </c>
      <c r="I7" s="3">
        <f t="shared" si="1"/>
        <v>69.400000000000006</v>
      </c>
      <c r="J7" s="3" t="str">
        <f t="shared" si="2"/>
        <v>D</v>
      </c>
      <c r="K7" s="3">
        <f t="shared" si="3"/>
        <v>2</v>
      </c>
      <c r="L7" s="3" t="str">
        <f t="shared" si="4"/>
        <v>Pass</v>
      </c>
    </row>
    <row r="8" spans="1:12" x14ac:dyDescent="0.35">
      <c r="A8" s="3">
        <v>5</v>
      </c>
      <c r="B8" s="4" t="s">
        <v>17</v>
      </c>
      <c r="C8" s="3">
        <v>91</v>
      </c>
      <c r="D8" s="3">
        <v>85</v>
      </c>
      <c r="E8" s="3">
        <v>58</v>
      </c>
      <c r="F8" s="3">
        <v>49</v>
      </c>
      <c r="G8" s="3">
        <v>80</v>
      </c>
      <c r="H8" s="3">
        <f t="shared" si="0"/>
        <v>363</v>
      </c>
      <c r="I8" s="3">
        <f t="shared" si="1"/>
        <v>72.599999999999994</v>
      </c>
      <c r="J8" s="3" t="str">
        <f t="shared" si="2"/>
        <v>C</v>
      </c>
      <c r="K8" s="3">
        <f t="shared" si="3"/>
        <v>1</v>
      </c>
      <c r="L8" s="3" t="str">
        <f t="shared" si="4"/>
        <v>Pass</v>
      </c>
    </row>
  </sheetData>
  <mergeCells count="9">
    <mergeCell ref="A2:A3"/>
    <mergeCell ref="B2:B3"/>
    <mergeCell ref="C2:G2"/>
    <mergeCell ref="A1:L1"/>
    <mergeCell ref="H2:H3"/>
    <mergeCell ref="I2:I3"/>
    <mergeCell ref="J2:J3"/>
    <mergeCell ref="K2:K3"/>
    <mergeCell ref="L2:L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969E-335E-4BAE-AA07-B8473F045CD1}">
  <dimension ref="A1:O92"/>
  <sheetViews>
    <sheetView tabSelected="1" topLeftCell="A81" workbookViewId="0">
      <selection activeCell="G98" sqref="G98"/>
    </sheetView>
  </sheetViews>
  <sheetFormatPr defaultRowHeight="18" x14ac:dyDescent="0.35"/>
  <cols>
    <col min="1" max="3" width="13.4140625" bestFit="1" customWidth="1"/>
    <col min="4" max="4" width="12.6640625" customWidth="1"/>
    <col min="5" max="5" width="18.9140625" bestFit="1" customWidth="1"/>
    <col min="6" max="7" width="13.75" bestFit="1" customWidth="1"/>
    <col min="8" max="9" width="13.4140625" bestFit="1" customWidth="1"/>
    <col min="10" max="10" width="14.75" customWidth="1"/>
    <col min="11" max="11" width="18.9140625" bestFit="1" customWidth="1"/>
    <col min="13" max="13" width="8.75" bestFit="1" customWidth="1"/>
    <col min="14" max="14" width="10.75" bestFit="1" customWidth="1"/>
  </cols>
  <sheetData>
    <row r="1" spans="1:15" x14ac:dyDescent="0.35">
      <c r="A1" s="11" t="s">
        <v>44</v>
      </c>
      <c r="B1" s="11" t="s">
        <v>45</v>
      </c>
      <c r="C1" s="11" t="s">
        <v>46</v>
      </c>
      <c r="D1" s="11" t="s">
        <v>47</v>
      </c>
      <c r="E1" s="11" t="s">
        <v>48</v>
      </c>
      <c r="F1" s="11" t="s">
        <v>49</v>
      </c>
      <c r="G1" s="11" t="s">
        <v>50</v>
      </c>
      <c r="H1" s="11" t="s">
        <v>51</v>
      </c>
      <c r="I1" s="11" t="s">
        <v>52</v>
      </c>
      <c r="J1" s="11" t="s">
        <v>53</v>
      </c>
      <c r="K1" s="11" t="s">
        <v>54</v>
      </c>
      <c r="L1" s="11" t="s">
        <v>55</v>
      </c>
      <c r="M1" s="11" t="s">
        <v>56</v>
      </c>
      <c r="N1" s="11" t="s">
        <v>57</v>
      </c>
      <c r="O1" s="13" t="s">
        <v>93</v>
      </c>
    </row>
    <row r="2" spans="1:15" x14ac:dyDescent="0.35">
      <c r="A2" s="14">
        <v>2024</v>
      </c>
      <c r="B2" s="10" t="s">
        <v>58</v>
      </c>
      <c r="C2" s="10" t="s">
        <v>59</v>
      </c>
      <c r="D2" s="10">
        <v>14</v>
      </c>
      <c r="E2" s="10">
        <v>2000</v>
      </c>
      <c r="F2" s="10" t="s">
        <v>60</v>
      </c>
      <c r="G2" s="10" t="s">
        <v>61</v>
      </c>
      <c r="H2" s="10">
        <v>0</v>
      </c>
      <c r="I2" s="10" t="s">
        <v>62</v>
      </c>
      <c r="J2" s="10" t="s">
        <v>63</v>
      </c>
      <c r="K2" s="10">
        <v>0</v>
      </c>
      <c r="L2" s="12">
        <v>44980</v>
      </c>
      <c r="M2" s="12">
        <v>44984</v>
      </c>
      <c r="N2" s="10" t="s">
        <v>64</v>
      </c>
      <c r="O2">
        <f>PRODUCT(D2,E2)</f>
        <v>28000</v>
      </c>
    </row>
    <row r="3" spans="1:15" x14ac:dyDescent="0.35">
      <c r="A3" s="14">
        <v>2024</v>
      </c>
      <c r="B3" s="10" t="s">
        <v>65</v>
      </c>
      <c r="C3" s="10" t="s">
        <v>66</v>
      </c>
      <c r="D3" s="10">
        <v>1</v>
      </c>
      <c r="E3" s="10">
        <v>544.01</v>
      </c>
      <c r="F3" s="10" t="s">
        <v>67</v>
      </c>
      <c r="G3" s="10" t="s">
        <v>68</v>
      </c>
      <c r="H3" s="10">
        <v>0</v>
      </c>
      <c r="I3" s="10" t="s">
        <v>69</v>
      </c>
      <c r="J3" s="10" t="s">
        <v>70</v>
      </c>
      <c r="K3" s="10">
        <v>0</v>
      </c>
      <c r="L3" s="12">
        <v>45645</v>
      </c>
      <c r="M3" s="12">
        <v>45654</v>
      </c>
      <c r="N3" s="10" t="s">
        <v>71</v>
      </c>
      <c r="O3">
        <f t="shared" ref="O3:O50" si="0">PRODUCT(D3,E3)</f>
        <v>544.01</v>
      </c>
    </row>
    <row r="4" spans="1:15" x14ac:dyDescent="0.35">
      <c r="A4" s="14">
        <v>2023</v>
      </c>
      <c r="B4" s="10" t="s">
        <v>72</v>
      </c>
      <c r="C4" s="10" t="s">
        <v>73</v>
      </c>
      <c r="D4" s="10">
        <v>14</v>
      </c>
      <c r="E4" s="10">
        <v>346.18</v>
      </c>
      <c r="F4" s="10" t="s">
        <v>60</v>
      </c>
      <c r="G4" s="10" t="s">
        <v>61</v>
      </c>
      <c r="H4" s="10">
        <v>0.1</v>
      </c>
      <c r="I4" s="10" t="s">
        <v>69</v>
      </c>
      <c r="J4" s="10" t="s">
        <v>63</v>
      </c>
      <c r="K4" s="10">
        <v>0</v>
      </c>
      <c r="L4" s="12">
        <v>45056</v>
      </c>
      <c r="M4" s="12">
        <v>45065</v>
      </c>
      <c r="N4" s="10" t="s">
        <v>74</v>
      </c>
      <c r="O4">
        <f t="shared" si="0"/>
        <v>4846.5200000000004</v>
      </c>
    </row>
    <row r="5" spans="1:15" x14ac:dyDescent="0.35">
      <c r="A5" s="14">
        <v>2025</v>
      </c>
      <c r="B5" s="10" t="s">
        <v>75</v>
      </c>
      <c r="C5" s="10" t="s">
        <v>76</v>
      </c>
      <c r="D5" s="10">
        <v>18</v>
      </c>
      <c r="E5" s="10">
        <v>384.82</v>
      </c>
      <c r="F5" s="10" t="s">
        <v>67</v>
      </c>
      <c r="G5" s="10" t="s">
        <v>61</v>
      </c>
      <c r="H5" s="10">
        <v>0.15</v>
      </c>
      <c r="I5" s="10" t="s">
        <v>77</v>
      </c>
      <c r="J5" s="10" t="s">
        <v>70</v>
      </c>
      <c r="K5" s="10">
        <v>0</v>
      </c>
      <c r="L5" s="12">
        <v>45714</v>
      </c>
      <c r="M5" s="12">
        <v>45718</v>
      </c>
      <c r="N5" s="10" t="s">
        <v>78</v>
      </c>
      <c r="O5">
        <f t="shared" si="0"/>
        <v>6926.76</v>
      </c>
    </row>
    <row r="6" spans="1:15" x14ac:dyDescent="0.35">
      <c r="A6" s="14">
        <v>2025</v>
      </c>
      <c r="B6" s="10" t="s">
        <v>58</v>
      </c>
      <c r="C6" s="10" t="s">
        <v>73</v>
      </c>
      <c r="D6" s="10">
        <v>18</v>
      </c>
      <c r="E6" s="10">
        <v>237.76</v>
      </c>
      <c r="F6" s="10" t="s">
        <v>79</v>
      </c>
      <c r="G6" s="10" t="s">
        <v>68</v>
      </c>
      <c r="H6" s="10">
        <v>0</v>
      </c>
      <c r="I6" s="10" t="s">
        <v>80</v>
      </c>
      <c r="J6" s="10" t="s">
        <v>63</v>
      </c>
      <c r="K6" s="10">
        <v>0</v>
      </c>
      <c r="L6" s="12">
        <v>45101</v>
      </c>
      <c r="M6" s="12">
        <v>45104</v>
      </c>
      <c r="N6" s="10" t="s">
        <v>64</v>
      </c>
      <c r="O6">
        <f t="shared" si="0"/>
        <v>4279.68</v>
      </c>
    </row>
    <row r="7" spans="1:15" x14ac:dyDescent="0.35">
      <c r="A7" s="14">
        <v>2025</v>
      </c>
      <c r="B7" s="10" t="s">
        <v>75</v>
      </c>
      <c r="C7" s="10" t="s">
        <v>81</v>
      </c>
      <c r="D7" s="10">
        <v>2</v>
      </c>
      <c r="E7" s="10">
        <v>385.09</v>
      </c>
      <c r="F7" s="10" t="s">
        <v>82</v>
      </c>
      <c r="G7" s="10" t="s">
        <v>61</v>
      </c>
      <c r="H7" s="10">
        <v>0.15</v>
      </c>
      <c r="I7" s="10" t="s">
        <v>83</v>
      </c>
      <c r="J7" s="10" t="s">
        <v>84</v>
      </c>
      <c r="K7" s="10">
        <v>0</v>
      </c>
      <c r="L7" s="12">
        <v>45342</v>
      </c>
      <c r="M7" s="12">
        <v>45352</v>
      </c>
      <c r="N7" s="10" t="s">
        <v>78</v>
      </c>
      <c r="O7">
        <f t="shared" si="0"/>
        <v>770.18</v>
      </c>
    </row>
    <row r="8" spans="1:15" x14ac:dyDescent="0.35">
      <c r="A8" s="14">
        <v>2025</v>
      </c>
      <c r="B8" s="10" t="s">
        <v>65</v>
      </c>
      <c r="C8" s="10" t="s">
        <v>76</v>
      </c>
      <c r="D8" s="10">
        <v>7</v>
      </c>
      <c r="E8" s="10">
        <v>17.5</v>
      </c>
      <c r="F8" s="10" t="s">
        <v>79</v>
      </c>
      <c r="G8" s="10" t="s">
        <v>68</v>
      </c>
      <c r="H8" s="10">
        <v>0.1</v>
      </c>
      <c r="I8" s="10" t="s">
        <v>69</v>
      </c>
      <c r="J8" s="10" t="s">
        <v>85</v>
      </c>
      <c r="K8" s="10">
        <v>0</v>
      </c>
      <c r="L8" s="12">
        <v>44937</v>
      </c>
      <c r="M8" s="12">
        <v>44940</v>
      </c>
      <c r="N8" s="10" t="s">
        <v>71</v>
      </c>
      <c r="O8">
        <f t="shared" si="0"/>
        <v>122.5</v>
      </c>
    </row>
    <row r="9" spans="1:15" x14ac:dyDescent="0.35">
      <c r="A9" s="14">
        <v>2025</v>
      </c>
      <c r="B9" s="10" t="s">
        <v>75</v>
      </c>
      <c r="C9" s="10" t="s">
        <v>76</v>
      </c>
      <c r="D9" s="10">
        <v>3</v>
      </c>
      <c r="E9" s="10">
        <v>330.22</v>
      </c>
      <c r="F9" s="10" t="s">
        <v>79</v>
      </c>
      <c r="G9" s="10" t="s">
        <v>61</v>
      </c>
      <c r="H9" s="10">
        <v>0.15</v>
      </c>
      <c r="I9" s="10" t="s">
        <v>80</v>
      </c>
      <c r="J9" s="10" t="s">
        <v>86</v>
      </c>
      <c r="K9" s="10">
        <v>0</v>
      </c>
      <c r="L9" s="12">
        <v>44935</v>
      </c>
      <c r="M9" s="12">
        <v>44937</v>
      </c>
      <c r="N9" s="10" t="s">
        <v>78</v>
      </c>
      <c r="O9">
        <f t="shared" si="0"/>
        <v>990.66000000000008</v>
      </c>
    </row>
    <row r="10" spans="1:15" x14ac:dyDescent="0.35">
      <c r="A10" s="14">
        <v>2025</v>
      </c>
      <c r="B10" s="10" t="s">
        <v>65</v>
      </c>
      <c r="C10" s="10" t="s">
        <v>76</v>
      </c>
      <c r="D10" s="10">
        <v>3</v>
      </c>
      <c r="E10" s="10">
        <v>432.04</v>
      </c>
      <c r="F10" s="10" t="s">
        <v>82</v>
      </c>
      <c r="G10" s="10" t="s">
        <v>61</v>
      </c>
      <c r="H10" s="10">
        <v>0.05</v>
      </c>
      <c r="I10" s="10" t="s">
        <v>87</v>
      </c>
      <c r="J10" s="10" t="s">
        <v>85</v>
      </c>
      <c r="K10" s="10">
        <v>1</v>
      </c>
      <c r="L10" s="12">
        <v>45581</v>
      </c>
      <c r="M10" s="12">
        <v>45583</v>
      </c>
      <c r="N10" s="10" t="s">
        <v>71</v>
      </c>
      <c r="O10">
        <f t="shared" si="0"/>
        <v>1296.1200000000001</v>
      </c>
    </row>
    <row r="11" spans="1:15" x14ac:dyDescent="0.35">
      <c r="A11" s="14">
        <v>2025</v>
      </c>
      <c r="B11" s="10" t="s">
        <v>88</v>
      </c>
      <c r="C11" s="10" t="s">
        <v>73</v>
      </c>
      <c r="D11" s="10">
        <v>5</v>
      </c>
      <c r="E11" s="10">
        <v>323.27999999999997</v>
      </c>
      <c r="F11" s="10" t="s">
        <v>82</v>
      </c>
      <c r="G11" s="10" t="s">
        <v>68</v>
      </c>
      <c r="H11" s="10">
        <v>0.1</v>
      </c>
      <c r="I11" s="10" t="s">
        <v>77</v>
      </c>
      <c r="J11" s="10" t="s">
        <v>70</v>
      </c>
      <c r="K11" s="10">
        <v>0</v>
      </c>
      <c r="L11" s="12">
        <v>45721</v>
      </c>
      <c r="M11" s="12">
        <v>45729</v>
      </c>
      <c r="N11" s="10" t="s">
        <v>89</v>
      </c>
      <c r="O11">
        <f t="shared" si="0"/>
        <v>1616.3999999999999</v>
      </c>
    </row>
    <row r="12" spans="1:15" x14ac:dyDescent="0.35">
      <c r="A12" s="14">
        <v>2024</v>
      </c>
      <c r="B12" s="10" t="s">
        <v>72</v>
      </c>
      <c r="C12" s="10" t="s">
        <v>73</v>
      </c>
      <c r="D12" s="10">
        <v>15</v>
      </c>
      <c r="E12" s="10">
        <v>523.29</v>
      </c>
      <c r="F12" s="10" t="s">
        <v>60</v>
      </c>
      <c r="G12" s="10" t="s">
        <v>61</v>
      </c>
      <c r="H12" s="10">
        <v>0.15</v>
      </c>
      <c r="I12" s="10" t="s">
        <v>62</v>
      </c>
      <c r="J12" s="10" t="s">
        <v>85</v>
      </c>
      <c r="K12" s="10">
        <v>0</v>
      </c>
      <c r="L12" s="12">
        <v>45392</v>
      </c>
      <c r="M12" s="12">
        <v>45399</v>
      </c>
      <c r="N12" s="10" t="s">
        <v>74</v>
      </c>
      <c r="O12">
        <f t="shared" si="0"/>
        <v>7849.3499999999995</v>
      </c>
    </row>
    <row r="13" spans="1:15" x14ac:dyDescent="0.35">
      <c r="A13" s="14">
        <v>2023</v>
      </c>
      <c r="B13" s="10" t="s">
        <v>58</v>
      </c>
      <c r="C13" s="10" t="s">
        <v>66</v>
      </c>
      <c r="D13" s="10">
        <v>19</v>
      </c>
      <c r="E13" s="10">
        <v>207.35</v>
      </c>
      <c r="F13" s="10" t="s">
        <v>82</v>
      </c>
      <c r="G13" s="10" t="s">
        <v>68</v>
      </c>
      <c r="H13" s="10">
        <v>0.1</v>
      </c>
      <c r="I13" s="10" t="s">
        <v>62</v>
      </c>
      <c r="J13" s="10" t="s">
        <v>70</v>
      </c>
      <c r="K13" s="10">
        <v>1</v>
      </c>
      <c r="L13" s="12">
        <v>45485</v>
      </c>
      <c r="M13" s="12">
        <v>45491</v>
      </c>
      <c r="N13" s="10" t="s">
        <v>64</v>
      </c>
      <c r="O13">
        <f t="shared" si="0"/>
        <v>3939.65</v>
      </c>
    </row>
    <row r="14" spans="1:15" x14ac:dyDescent="0.35">
      <c r="A14" s="14">
        <v>2024</v>
      </c>
      <c r="B14" s="10" t="s">
        <v>75</v>
      </c>
      <c r="C14" s="10" t="s">
        <v>66</v>
      </c>
      <c r="D14" s="10">
        <v>1</v>
      </c>
      <c r="E14" s="10">
        <v>120.53</v>
      </c>
      <c r="F14" s="10" t="s">
        <v>60</v>
      </c>
      <c r="G14" s="10" t="s">
        <v>68</v>
      </c>
      <c r="H14" s="10">
        <v>0.05</v>
      </c>
      <c r="I14" s="10" t="s">
        <v>83</v>
      </c>
      <c r="J14" s="10" t="s">
        <v>86</v>
      </c>
      <c r="K14" s="10">
        <v>0</v>
      </c>
      <c r="L14" s="12">
        <v>45128</v>
      </c>
      <c r="M14" s="12">
        <v>45138</v>
      </c>
      <c r="N14" s="10" t="s">
        <v>78</v>
      </c>
      <c r="O14">
        <f t="shared" si="0"/>
        <v>120.53</v>
      </c>
    </row>
    <row r="15" spans="1:15" x14ac:dyDescent="0.35">
      <c r="A15" s="14">
        <v>2025</v>
      </c>
      <c r="B15" s="10" t="s">
        <v>88</v>
      </c>
      <c r="C15" s="10" t="s">
        <v>90</v>
      </c>
      <c r="D15" s="10">
        <v>1</v>
      </c>
      <c r="E15" s="10">
        <v>157.83000000000001</v>
      </c>
      <c r="F15" s="10" t="s">
        <v>67</v>
      </c>
      <c r="G15" s="10" t="s">
        <v>61</v>
      </c>
      <c r="H15" s="10">
        <v>0.15</v>
      </c>
      <c r="I15" s="10" t="s">
        <v>80</v>
      </c>
      <c r="J15" s="10" t="s">
        <v>85</v>
      </c>
      <c r="K15" s="10">
        <v>0</v>
      </c>
      <c r="L15" s="12">
        <v>45675</v>
      </c>
      <c r="M15" s="12">
        <v>45679</v>
      </c>
      <c r="N15" s="10" t="s">
        <v>89</v>
      </c>
      <c r="O15">
        <f t="shared" si="0"/>
        <v>157.83000000000001</v>
      </c>
    </row>
    <row r="16" spans="1:15" x14ac:dyDescent="0.35">
      <c r="A16" s="14">
        <v>2024</v>
      </c>
      <c r="B16" s="10" t="s">
        <v>72</v>
      </c>
      <c r="C16" s="10" t="s">
        <v>73</v>
      </c>
      <c r="D16" s="10">
        <v>15</v>
      </c>
      <c r="E16" s="10">
        <v>220.3</v>
      </c>
      <c r="F16" s="10" t="s">
        <v>60</v>
      </c>
      <c r="G16" s="10" t="s">
        <v>68</v>
      </c>
      <c r="H16" s="10">
        <v>0.15</v>
      </c>
      <c r="I16" s="10" t="s">
        <v>83</v>
      </c>
      <c r="J16" s="10" t="s">
        <v>85</v>
      </c>
      <c r="K16" s="10">
        <v>0</v>
      </c>
      <c r="L16" s="12">
        <v>45634</v>
      </c>
      <c r="M16" s="12">
        <v>45641</v>
      </c>
      <c r="N16" s="10" t="s">
        <v>74</v>
      </c>
      <c r="O16">
        <f t="shared" si="0"/>
        <v>3304.5</v>
      </c>
    </row>
    <row r="17" spans="1:15" x14ac:dyDescent="0.35">
      <c r="A17" s="14">
        <v>2024</v>
      </c>
      <c r="B17" s="10" t="s">
        <v>88</v>
      </c>
      <c r="C17" s="10" t="s">
        <v>76</v>
      </c>
      <c r="D17" s="10">
        <v>17</v>
      </c>
      <c r="E17" s="10">
        <v>162.96</v>
      </c>
      <c r="F17" s="10" t="s">
        <v>67</v>
      </c>
      <c r="G17" s="10" t="s">
        <v>61</v>
      </c>
      <c r="H17" s="10">
        <v>0.05</v>
      </c>
      <c r="I17" s="10" t="s">
        <v>62</v>
      </c>
      <c r="J17" s="10" t="s">
        <v>70</v>
      </c>
      <c r="K17" s="10">
        <v>0</v>
      </c>
      <c r="L17" s="12">
        <v>45788</v>
      </c>
      <c r="M17" s="12">
        <v>45794</v>
      </c>
      <c r="N17" s="10" t="s">
        <v>89</v>
      </c>
      <c r="O17">
        <f t="shared" si="0"/>
        <v>2770.32</v>
      </c>
    </row>
    <row r="18" spans="1:15" x14ac:dyDescent="0.35">
      <c r="A18" s="14">
        <v>2025</v>
      </c>
      <c r="B18" s="10" t="s">
        <v>88</v>
      </c>
      <c r="C18" s="10" t="s">
        <v>59</v>
      </c>
      <c r="D18" s="10">
        <v>19</v>
      </c>
      <c r="E18" s="10">
        <v>236.11</v>
      </c>
      <c r="F18" s="10" t="s">
        <v>82</v>
      </c>
      <c r="G18" s="10" t="s">
        <v>61</v>
      </c>
      <c r="H18" s="10">
        <v>0</v>
      </c>
      <c r="I18" s="10" t="s">
        <v>87</v>
      </c>
      <c r="J18" s="10" t="s">
        <v>63</v>
      </c>
      <c r="K18" s="10">
        <v>0</v>
      </c>
      <c r="L18" s="12">
        <v>44983</v>
      </c>
      <c r="M18" s="12">
        <v>44989</v>
      </c>
      <c r="N18" s="10" t="s">
        <v>89</v>
      </c>
      <c r="O18">
        <f t="shared" si="0"/>
        <v>4486.09</v>
      </c>
    </row>
    <row r="19" spans="1:15" x14ac:dyDescent="0.35">
      <c r="A19" s="14">
        <v>2023</v>
      </c>
      <c r="B19" s="10" t="s">
        <v>75</v>
      </c>
      <c r="C19" s="10" t="s">
        <v>73</v>
      </c>
      <c r="D19" s="10">
        <v>11</v>
      </c>
      <c r="E19" s="10">
        <v>573.14</v>
      </c>
      <c r="F19" s="10" t="s">
        <v>82</v>
      </c>
      <c r="G19" s="10" t="s">
        <v>68</v>
      </c>
      <c r="H19" s="10">
        <v>0.05</v>
      </c>
      <c r="I19" s="10" t="s">
        <v>83</v>
      </c>
      <c r="J19" s="10" t="s">
        <v>86</v>
      </c>
      <c r="K19" s="10">
        <v>0</v>
      </c>
      <c r="L19" s="12">
        <v>45440</v>
      </c>
      <c r="M19" s="12">
        <v>45444</v>
      </c>
      <c r="N19" s="10" t="s">
        <v>78</v>
      </c>
      <c r="O19">
        <f t="shared" si="0"/>
        <v>6304.54</v>
      </c>
    </row>
    <row r="20" spans="1:15" x14ac:dyDescent="0.35">
      <c r="A20" s="14">
        <v>2023</v>
      </c>
      <c r="B20" s="10" t="s">
        <v>58</v>
      </c>
      <c r="C20" s="10" t="s">
        <v>66</v>
      </c>
      <c r="D20" s="10">
        <v>20</v>
      </c>
      <c r="E20" s="10">
        <v>519.04</v>
      </c>
      <c r="F20" s="10" t="s">
        <v>60</v>
      </c>
      <c r="G20" s="10" t="s">
        <v>68</v>
      </c>
      <c r="H20" s="10">
        <v>0.15</v>
      </c>
      <c r="I20" s="10" t="s">
        <v>80</v>
      </c>
      <c r="J20" s="10" t="s">
        <v>70</v>
      </c>
      <c r="K20" s="10">
        <v>0</v>
      </c>
      <c r="L20" s="12">
        <v>45260</v>
      </c>
      <c r="M20" s="12">
        <v>45268</v>
      </c>
      <c r="N20" s="10" t="s">
        <v>64</v>
      </c>
      <c r="O20">
        <f t="shared" si="0"/>
        <v>10380.799999999999</v>
      </c>
    </row>
    <row r="21" spans="1:15" x14ac:dyDescent="0.35">
      <c r="A21" s="14">
        <v>2024</v>
      </c>
      <c r="B21" s="10" t="s">
        <v>88</v>
      </c>
      <c r="C21" s="10" t="s">
        <v>73</v>
      </c>
      <c r="D21" s="10">
        <v>14</v>
      </c>
      <c r="E21" s="10">
        <v>30.83</v>
      </c>
      <c r="F21" s="10" t="s">
        <v>60</v>
      </c>
      <c r="G21" s="10" t="s">
        <v>68</v>
      </c>
      <c r="H21" s="10">
        <v>0</v>
      </c>
      <c r="I21" s="10" t="s">
        <v>80</v>
      </c>
      <c r="J21" s="10" t="s">
        <v>63</v>
      </c>
      <c r="K21" s="10">
        <v>1</v>
      </c>
      <c r="L21" s="12">
        <v>45099</v>
      </c>
      <c r="M21" s="12">
        <v>45109</v>
      </c>
      <c r="N21" s="10" t="s">
        <v>89</v>
      </c>
      <c r="O21">
        <f t="shared" si="0"/>
        <v>431.62</v>
      </c>
    </row>
    <row r="22" spans="1:15" x14ac:dyDescent="0.35">
      <c r="A22" s="14">
        <v>2025</v>
      </c>
      <c r="B22" s="10" t="s">
        <v>88</v>
      </c>
      <c r="C22" s="10" t="s">
        <v>66</v>
      </c>
      <c r="D22" s="10">
        <v>10</v>
      </c>
      <c r="E22" s="10">
        <v>319.05</v>
      </c>
      <c r="F22" s="10" t="s">
        <v>82</v>
      </c>
      <c r="G22" s="10" t="s">
        <v>61</v>
      </c>
      <c r="H22" s="10">
        <v>0</v>
      </c>
      <c r="I22" s="10" t="s">
        <v>83</v>
      </c>
      <c r="J22" s="10" t="s">
        <v>63</v>
      </c>
      <c r="K22" s="10">
        <v>0</v>
      </c>
      <c r="L22" s="12">
        <v>45813</v>
      </c>
      <c r="M22" s="12">
        <v>45816</v>
      </c>
      <c r="N22" s="10" t="s">
        <v>89</v>
      </c>
      <c r="O22">
        <f t="shared" si="0"/>
        <v>3190.5</v>
      </c>
    </row>
    <row r="23" spans="1:15" x14ac:dyDescent="0.35">
      <c r="A23" s="14">
        <v>2024</v>
      </c>
      <c r="B23" s="10" t="s">
        <v>75</v>
      </c>
      <c r="C23" s="10" t="s">
        <v>76</v>
      </c>
      <c r="D23" s="10">
        <v>14</v>
      </c>
      <c r="E23" s="10">
        <v>312.79000000000002</v>
      </c>
      <c r="F23" s="10" t="s">
        <v>67</v>
      </c>
      <c r="G23" s="10" t="s">
        <v>68</v>
      </c>
      <c r="H23" s="10">
        <v>0.05</v>
      </c>
      <c r="I23" s="10" t="s">
        <v>87</v>
      </c>
      <c r="J23" s="10" t="s">
        <v>63</v>
      </c>
      <c r="K23" s="10">
        <v>1</v>
      </c>
      <c r="L23" s="12">
        <v>44988</v>
      </c>
      <c r="M23" s="12">
        <v>44993</v>
      </c>
      <c r="N23" s="10" t="s">
        <v>78</v>
      </c>
      <c r="O23">
        <f t="shared" si="0"/>
        <v>4379.0600000000004</v>
      </c>
    </row>
    <row r="24" spans="1:15" x14ac:dyDescent="0.35">
      <c r="A24" s="14">
        <v>2024</v>
      </c>
      <c r="B24" s="10" t="s">
        <v>72</v>
      </c>
      <c r="C24" s="10" t="s">
        <v>59</v>
      </c>
      <c r="D24" s="10">
        <v>14</v>
      </c>
      <c r="E24" s="10">
        <v>395.45</v>
      </c>
      <c r="F24" s="10" t="s">
        <v>79</v>
      </c>
      <c r="G24" s="10" t="s">
        <v>68</v>
      </c>
      <c r="H24" s="10">
        <v>0</v>
      </c>
      <c r="I24" s="10" t="s">
        <v>80</v>
      </c>
      <c r="J24" s="10" t="s">
        <v>86</v>
      </c>
      <c r="K24" s="10">
        <v>1</v>
      </c>
      <c r="L24" s="12">
        <v>45340</v>
      </c>
      <c r="M24" s="12">
        <v>45344</v>
      </c>
      <c r="N24" s="10" t="s">
        <v>74</v>
      </c>
      <c r="O24">
        <f t="shared" si="0"/>
        <v>5536.3</v>
      </c>
    </row>
    <row r="25" spans="1:15" x14ac:dyDescent="0.35">
      <c r="A25" s="14">
        <v>2025</v>
      </c>
      <c r="B25" s="10" t="s">
        <v>75</v>
      </c>
      <c r="C25" s="10" t="s">
        <v>59</v>
      </c>
      <c r="D25" s="10">
        <v>12</v>
      </c>
      <c r="E25" s="10">
        <v>472.72</v>
      </c>
      <c r="F25" s="10" t="s">
        <v>82</v>
      </c>
      <c r="G25" s="10" t="s">
        <v>68</v>
      </c>
      <c r="H25" s="10">
        <v>0.15</v>
      </c>
      <c r="I25" s="10" t="s">
        <v>83</v>
      </c>
      <c r="J25" s="10" t="s">
        <v>84</v>
      </c>
      <c r="K25" s="10">
        <v>0</v>
      </c>
      <c r="L25" s="12">
        <v>45144</v>
      </c>
      <c r="M25" s="12">
        <v>45152</v>
      </c>
      <c r="N25" s="10" t="s">
        <v>78</v>
      </c>
      <c r="O25">
        <f t="shared" si="0"/>
        <v>5672.64</v>
      </c>
    </row>
    <row r="26" spans="1:15" x14ac:dyDescent="0.35">
      <c r="A26" s="14">
        <v>2023</v>
      </c>
      <c r="B26" s="10" t="s">
        <v>72</v>
      </c>
      <c r="C26" s="10" t="s">
        <v>73</v>
      </c>
      <c r="D26" s="10">
        <v>5</v>
      </c>
      <c r="E26" s="10">
        <v>288.01</v>
      </c>
      <c r="F26" s="10" t="s">
        <v>67</v>
      </c>
      <c r="G26" s="10" t="s">
        <v>61</v>
      </c>
      <c r="H26" s="10">
        <v>0</v>
      </c>
      <c r="I26" s="10" t="s">
        <v>62</v>
      </c>
      <c r="J26" s="10" t="s">
        <v>84</v>
      </c>
      <c r="K26" s="10">
        <v>0</v>
      </c>
      <c r="L26" s="12">
        <v>45435</v>
      </c>
      <c r="M26" s="12">
        <v>45442</v>
      </c>
      <c r="N26" s="10" t="s">
        <v>74</v>
      </c>
      <c r="O26">
        <f t="shared" si="0"/>
        <v>1440.05</v>
      </c>
    </row>
    <row r="27" spans="1:15" x14ac:dyDescent="0.35">
      <c r="A27" s="14">
        <v>2023</v>
      </c>
      <c r="B27" s="10" t="s">
        <v>58</v>
      </c>
      <c r="C27" s="10" t="s">
        <v>66</v>
      </c>
      <c r="D27" s="10">
        <v>13</v>
      </c>
      <c r="E27" s="10">
        <v>562.29</v>
      </c>
      <c r="F27" s="10" t="s">
        <v>82</v>
      </c>
      <c r="G27" s="10" t="s">
        <v>68</v>
      </c>
      <c r="H27" s="10">
        <v>0</v>
      </c>
      <c r="I27" s="10" t="s">
        <v>83</v>
      </c>
      <c r="J27" s="10" t="s">
        <v>70</v>
      </c>
      <c r="K27" s="10">
        <v>0</v>
      </c>
      <c r="L27" s="12">
        <v>45222</v>
      </c>
      <c r="M27" s="12">
        <v>45227</v>
      </c>
      <c r="N27" s="10" t="s">
        <v>64</v>
      </c>
      <c r="O27">
        <f t="shared" si="0"/>
        <v>7309.7699999999995</v>
      </c>
    </row>
    <row r="28" spans="1:15" x14ac:dyDescent="0.35">
      <c r="A28" s="14">
        <v>2024</v>
      </c>
      <c r="B28" s="10" t="s">
        <v>88</v>
      </c>
      <c r="C28" s="10" t="s">
        <v>66</v>
      </c>
      <c r="D28" s="10">
        <v>1</v>
      </c>
      <c r="E28" s="10">
        <v>101.73</v>
      </c>
      <c r="F28" s="10" t="s">
        <v>82</v>
      </c>
      <c r="G28" s="10" t="s">
        <v>68</v>
      </c>
      <c r="H28" s="10">
        <v>0</v>
      </c>
      <c r="I28" s="10" t="s">
        <v>77</v>
      </c>
      <c r="J28" s="10" t="s">
        <v>85</v>
      </c>
      <c r="K28" s="10">
        <v>0</v>
      </c>
      <c r="L28" s="12">
        <v>45824</v>
      </c>
      <c r="M28" s="12">
        <v>45833</v>
      </c>
      <c r="N28" s="10" t="s">
        <v>89</v>
      </c>
      <c r="O28">
        <f t="shared" si="0"/>
        <v>101.73</v>
      </c>
    </row>
    <row r="29" spans="1:15" x14ac:dyDescent="0.35">
      <c r="A29" s="14">
        <v>2025</v>
      </c>
      <c r="B29" s="10" t="s">
        <v>72</v>
      </c>
      <c r="C29" s="10" t="s">
        <v>66</v>
      </c>
      <c r="D29" s="10">
        <v>4</v>
      </c>
      <c r="E29" s="10">
        <v>279.49</v>
      </c>
      <c r="F29" s="10" t="s">
        <v>60</v>
      </c>
      <c r="G29" s="10" t="s">
        <v>68</v>
      </c>
      <c r="H29" s="10">
        <v>0</v>
      </c>
      <c r="I29" s="10" t="s">
        <v>83</v>
      </c>
      <c r="J29" s="10" t="s">
        <v>84</v>
      </c>
      <c r="K29" s="10">
        <v>0</v>
      </c>
      <c r="L29" s="12">
        <v>44988</v>
      </c>
      <c r="M29" s="12">
        <v>44993</v>
      </c>
      <c r="N29" s="10" t="s">
        <v>74</v>
      </c>
      <c r="O29">
        <f t="shared" si="0"/>
        <v>1117.96</v>
      </c>
    </row>
    <row r="30" spans="1:15" x14ac:dyDescent="0.35">
      <c r="A30" s="14">
        <v>2025</v>
      </c>
      <c r="B30" s="10" t="s">
        <v>65</v>
      </c>
      <c r="C30" s="10" t="s">
        <v>59</v>
      </c>
      <c r="D30" s="10">
        <v>1</v>
      </c>
      <c r="E30" s="10">
        <v>178.55</v>
      </c>
      <c r="F30" s="10" t="s">
        <v>67</v>
      </c>
      <c r="G30" s="10" t="s">
        <v>68</v>
      </c>
      <c r="H30" s="10">
        <v>0.15</v>
      </c>
      <c r="I30" s="10" t="s">
        <v>80</v>
      </c>
      <c r="J30" s="10" t="s">
        <v>85</v>
      </c>
      <c r="K30" s="10">
        <v>1</v>
      </c>
      <c r="L30" s="12">
        <v>45614</v>
      </c>
      <c r="M30" s="12">
        <v>45617</v>
      </c>
      <c r="N30" s="10" t="s">
        <v>71</v>
      </c>
      <c r="O30">
        <f t="shared" si="0"/>
        <v>178.55</v>
      </c>
    </row>
    <row r="31" spans="1:15" x14ac:dyDescent="0.35">
      <c r="A31" s="14">
        <v>2024</v>
      </c>
      <c r="B31" s="10" t="s">
        <v>75</v>
      </c>
      <c r="C31" s="10" t="s">
        <v>90</v>
      </c>
      <c r="D31" s="10">
        <v>1</v>
      </c>
      <c r="E31" s="10">
        <v>472.07</v>
      </c>
      <c r="F31" s="10" t="s">
        <v>67</v>
      </c>
      <c r="G31" s="10" t="s">
        <v>61</v>
      </c>
      <c r="H31" s="10">
        <v>0.1</v>
      </c>
      <c r="I31" s="10" t="s">
        <v>80</v>
      </c>
      <c r="J31" s="10" t="s">
        <v>63</v>
      </c>
      <c r="K31" s="10">
        <v>0</v>
      </c>
      <c r="L31" s="12">
        <v>45055</v>
      </c>
      <c r="M31" s="12">
        <v>45063</v>
      </c>
      <c r="N31" s="10" t="s">
        <v>78</v>
      </c>
      <c r="O31">
        <f t="shared" si="0"/>
        <v>472.07</v>
      </c>
    </row>
    <row r="32" spans="1:15" x14ac:dyDescent="0.35">
      <c r="A32" s="14">
        <v>2025</v>
      </c>
      <c r="B32" s="10" t="s">
        <v>72</v>
      </c>
      <c r="C32" s="10" t="s">
        <v>90</v>
      </c>
      <c r="D32" s="10">
        <v>12</v>
      </c>
      <c r="E32" s="10">
        <v>306.29000000000002</v>
      </c>
      <c r="F32" s="10" t="s">
        <v>82</v>
      </c>
      <c r="G32" s="10" t="s">
        <v>68</v>
      </c>
      <c r="H32" s="10">
        <v>0</v>
      </c>
      <c r="I32" s="10" t="s">
        <v>77</v>
      </c>
      <c r="J32" s="10" t="s">
        <v>85</v>
      </c>
      <c r="K32" s="10">
        <v>0</v>
      </c>
      <c r="L32" s="12">
        <v>45633</v>
      </c>
      <c r="M32" s="12">
        <v>45640</v>
      </c>
      <c r="N32" s="10" t="s">
        <v>74</v>
      </c>
      <c r="O32">
        <f t="shared" si="0"/>
        <v>3675.4800000000005</v>
      </c>
    </row>
    <row r="33" spans="1:15" x14ac:dyDescent="0.35">
      <c r="A33" s="14">
        <v>2023</v>
      </c>
      <c r="B33" s="10" t="s">
        <v>72</v>
      </c>
      <c r="C33" s="10" t="s">
        <v>66</v>
      </c>
      <c r="D33" s="10">
        <v>7</v>
      </c>
      <c r="E33" s="10">
        <v>434.77</v>
      </c>
      <c r="F33" s="10" t="s">
        <v>79</v>
      </c>
      <c r="G33" s="10" t="s">
        <v>68</v>
      </c>
      <c r="H33" s="10">
        <v>0.15</v>
      </c>
      <c r="I33" s="10" t="s">
        <v>77</v>
      </c>
      <c r="J33" s="10" t="s">
        <v>63</v>
      </c>
      <c r="K33" s="10">
        <v>0</v>
      </c>
      <c r="L33" s="12">
        <v>45335</v>
      </c>
      <c r="M33" s="12">
        <v>45337</v>
      </c>
      <c r="N33" s="10" t="s">
        <v>74</v>
      </c>
      <c r="O33">
        <f t="shared" si="0"/>
        <v>3043.39</v>
      </c>
    </row>
    <row r="34" spans="1:15" x14ac:dyDescent="0.35">
      <c r="A34" s="14">
        <v>2025</v>
      </c>
      <c r="B34" s="10" t="s">
        <v>65</v>
      </c>
      <c r="C34" s="10" t="s">
        <v>73</v>
      </c>
      <c r="D34" s="10">
        <v>6</v>
      </c>
      <c r="E34" s="10">
        <v>64.98</v>
      </c>
      <c r="F34" s="10" t="s">
        <v>79</v>
      </c>
      <c r="G34" s="10" t="s">
        <v>68</v>
      </c>
      <c r="H34" s="10">
        <v>0</v>
      </c>
      <c r="I34" s="10" t="s">
        <v>80</v>
      </c>
      <c r="J34" s="10" t="s">
        <v>85</v>
      </c>
      <c r="K34" s="10">
        <v>0</v>
      </c>
      <c r="L34" s="12">
        <v>45725</v>
      </c>
      <c r="M34" s="12">
        <v>45731</v>
      </c>
      <c r="N34" s="10" t="s">
        <v>71</v>
      </c>
      <c r="O34">
        <f t="shared" si="0"/>
        <v>389.88</v>
      </c>
    </row>
    <row r="35" spans="1:15" x14ac:dyDescent="0.35">
      <c r="A35" s="14">
        <v>2025</v>
      </c>
      <c r="B35" s="10" t="s">
        <v>75</v>
      </c>
      <c r="C35" s="10" t="s">
        <v>73</v>
      </c>
      <c r="D35" s="10">
        <v>17</v>
      </c>
      <c r="E35" s="10">
        <v>476.49</v>
      </c>
      <c r="F35" s="10" t="s">
        <v>82</v>
      </c>
      <c r="G35" s="10" t="s">
        <v>68</v>
      </c>
      <c r="H35" s="10">
        <v>0</v>
      </c>
      <c r="I35" s="10" t="s">
        <v>69</v>
      </c>
      <c r="J35" s="10" t="s">
        <v>70</v>
      </c>
      <c r="K35" s="10">
        <v>0</v>
      </c>
      <c r="L35" s="12">
        <v>45021</v>
      </c>
      <c r="M35" s="12">
        <v>45027</v>
      </c>
      <c r="N35" s="10" t="s">
        <v>78</v>
      </c>
      <c r="O35">
        <f t="shared" si="0"/>
        <v>8100.33</v>
      </c>
    </row>
    <row r="36" spans="1:15" x14ac:dyDescent="0.35">
      <c r="A36" s="14">
        <v>2023</v>
      </c>
      <c r="B36" s="10" t="s">
        <v>72</v>
      </c>
      <c r="C36" s="10" t="s">
        <v>81</v>
      </c>
      <c r="D36" s="10">
        <v>4</v>
      </c>
      <c r="E36" s="10">
        <v>559.72</v>
      </c>
      <c r="F36" s="10" t="s">
        <v>82</v>
      </c>
      <c r="G36" s="10" t="s">
        <v>68</v>
      </c>
      <c r="H36" s="10">
        <v>0.15</v>
      </c>
      <c r="I36" s="10" t="s">
        <v>83</v>
      </c>
      <c r="J36" s="10" t="s">
        <v>63</v>
      </c>
      <c r="K36" s="10">
        <v>0</v>
      </c>
      <c r="L36" s="12">
        <v>45785</v>
      </c>
      <c r="M36" s="12">
        <v>45789</v>
      </c>
      <c r="N36" s="10" t="s">
        <v>74</v>
      </c>
      <c r="O36">
        <f t="shared" si="0"/>
        <v>2238.88</v>
      </c>
    </row>
    <row r="37" spans="1:15" x14ac:dyDescent="0.35">
      <c r="A37" s="14">
        <v>2024</v>
      </c>
      <c r="B37" s="10" t="s">
        <v>72</v>
      </c>
      <c r="C37" s="10" t="s">
        <v>90</v>
      </c>
      <c r="D37" s="10">
        <v>14</v>
      </c>
      <c r="E37" s="10">
        <v>82.14</v>
      </c>
      <c r="F37" s="10" t="s">
        <v>79</v>
      </c>
      <c r="G37" s="10" t="s">
        <v>68</v>
      </c>
      <c r="H37" s="10">
        <v>0</v>
      </c>
      <c r="I37" s="10" t="s">
        <v>69</v>
      </c>
      <c r="J37" s="10" t="s">
        <v>84</v>
      </c>
      <c r="K37" s="10">
        <v>0</v>
      </c>
      <c r="L37" s="12">
        <v>45172</v>
      </c>
      <c r="M37" s="12">
        <v>45180</v>
      </c>
      <c r="N37" s="10" t="s">
        <v>74</v>
      </c>
      <c r="O37">
        <f t="shared" si="0"/>
        <v>1149.96</v>
      </c>
    </row>
    <row r="38" spans="1:15" x14ac:dyDescent="0.35">
      <c r="A38" s="14">
        <v>2025</v>
      </c>
      <c r="B38" s="10" t="s">
        <v>75</v>
      </c>
      <c r="C38" s="10" t="s">
        <v>76</v>
      </c>
      <c r="D38" s="10">
        <v>9</v>
      </c>
      <c r="E38" s="10">
        <v>343.21</v>
      </c>
      <c r="F38" s="10" t="s">
        <v>67</v>
      </c>
      <c r="G38" s="10" t="s">
        <v>68</v>
      </c>
      <c r="H38" s="10">
        <v>0.05</v>
      </c>
      <c r="I38" s="10" t="s">
        <v>80</v>
      </c>
      <c r="J38" s="10" t="s">
        <v>85</v>
      </c>
      <c r="K38" s="10">
        <v>0</v>
      </c>
      <c r="L38" s="12">
        <v>45737</v>
      </c>
      <c r="M38" s="12">
        <v>45744</v>
      </c>
      <c r="N38" s="10" t="s">
        <v>78</v>
      </c>
      <c r="O38">
        <f t="shared" si="0"/>
        <v>3088.89</v>
      </c>
    </row>
    <row r="39" spans="1:15" x14ac:dyDescent="0.35">
      <c r="A39" s="14">
        <v>2025</v>
      </c>
      <c r="B39" s="10" t="s">
        <v>65</v>
      </c>
      <c r="C39" s="10" t="s">
        <v>76</v>
      </c>
      <c r="D39" s="10">
        <v>7</v>
      </c>
      <c r="E39" s="10">
        <v>301.01</v>
      </c>
      <c r="F39" s="10" t="s">
        <v>60</v>
      </c>
      <c r="G39" s="10" t="s">
        <v>68</v>
      </c>
      <c r="H39" s="10">
        <v>0.15</v>
      </c>
      <c r="I39" s="10" t="s">
        <v>83</v>
      </c>
      <c r="J39" s="10" t="s">
        <v>86</v>
      </c>
      <c r="K39" s="10">
        <v>1</v>
      </c>
      <c r="L39" s="12">
        <v>45828</v>
      </c>
      <c r="M39" s="12">
        <v>45838</v>
      </c>
      <c r="N39" s="10" t="s">
        <v>71</v>
      </c>
      <c r="O39">
        <f t="shared" si="0"/>
        <v>2107.0699999999997</v>
      </c>
    </row>
    <row r="40" spans="1:15" x14ac:dyDescent="0.35">
      <c r="A40" s="14">
        <v>2025</v>
      </c>
      <c r="B40" s="10" t="s">
        <v>75</v>
      </c>
      <c r="C40" s="10" t="s">
        <v>91</v>
      </c>
      <c r="D40" s="10">
        <v>14</v>
      </c>
      <c r="E40" s="10">
        <v>428.13</v>
      </c>
      <c r="F40" s="10" t="s">
        <v>79</v>
      </c>
      <c r="G40" s="10" t="s">
        <v>68</v>
      </c>
      <c r="H40" s="10">
        <v>0.1</v>
      </c>
      <c r="I40" s="10" t="s">
        <v>87</v>
      </c>
      <c r="J40" s="10" t="s">
        <v>86</v>
      </c>
      <c r="K40" s="10">
        <v>1</v>
      </c>
      <c r="L40" s="12">
        <v>45337</v>
      </c>
      <c r="M40" s="12">
        <v>45347</v>
      </c>
      <c r="N40" s="10" t="s">
        <v>78</v>
      </c>
      <c r="O40">
        <f t="shared" si="0"/>
        <v>5993.82</v>
      </c>
    </row>
    <row r="41" spans="1:15" x14ac:dyDescent="0.35">
      <c r="A41" s="14">
        <v>2023</v>
      </c>
      <c r="B41" s="10" t="s">
        <v>75</v>
      </c>
      <c r="C41" s="10" t="s">
        <v>59</v>
      </c>
      <c r="D41" s="10">
        <v>2</v>
      </c>
      <c r="E41" s="10">
        <v>503.28</v>
      </c>
      <c r="F41" s="10" t="s">
        <v>82</v>
      </c>
      <c r="G41" s="10" t="s">
        <v>68</v>
      </c>
      <c r="H41" s="10">
        <v>0.15</v>
      </c>
      <c r="I41" s="10" t="s">
        <v>69</v>
      </c>
      <c r="J41" s="10" t="s">
        <v>70</v>
      </c>
      <c r="K41" s="10">
        <v>0</v>
      </c>
      <c r="L41" s="12">
        <v>45086</v>
      </c>
      <c r="M41" s="12">
        <v>45094</v>
      </c>
      <c r="N41" s="10" t="s">
        <v>78</v>
      </c>
      <c r="O41">
        <f t="shared" si="0"/>
        <v>1006.56</v>
      </c>
    </row>
    <row r="42" spans="1:15" x14ac:dyDescent="0.35">
      <c r="A42" s="14">
        <v>2023</v>
      </c>
      <c r="B42" s="10" t="s">
        <v>65</v>
      </c>
      <c r="C42" s="10" t="s">
        <v>91</v>
      </c>
      <c r="D42" s="10">
        <v>5</v>
      </c>
      <c r="E42" s="10">
        <v>470.32</v>
      </c>
      <c r="F42" s="10" t="s">
        <v>67</v>
      </c>
      <c r="G42" s="10" t="s">
        <v>68</v>
      </c>
      <c r="H42" s="10">
        <v>0.1</v>
      </c>
      <c r="I42" s="10" t="s">
        <v>62</v>
      </c>
      <c r="J42" s="10" t="s">
        <v>85</v>
      </c>
      <c r="K42" s="10">
        <v>0</v>
      </c>
      <c r="L42" s="12">
        <v>45148</v>
      </c>
      <c r="M42" s="12">
        <v>45152</v>
      </c>
      <c r="N42" s="10" t="s">
        <v>71</v>
      </c>
      <c r="O42">
        <f t="shared" si="0"/>
        <v>2351.6</v>
      </c>
    </row>
    <row r="43" spans="1:15" x14ac:dyDescent="0.35">
      <c r="A43" s="14">
        <v>2024</v>
      </c>
      <c r="B43" s="10" t="s">
        <v>75</v>
      </c>
      <c r="C43" s="10" t="s">
        <v>91</v>
      </c>
      <c r="D43" s="10">
        <v>20</v>
      </c>
      <c r="E43" s="10">
        <v>65.17</v>
      </c>
      <c r="F43" s="10" t="s">
        <v>79</v>
      </c>
      <c r="G43" s="10" t="s">
        <v>61</v>
      </c>
      <c r="H43" s="10">
        <v>0.05</v>
      </c>
      <c r="I43" s="10" t="s">
        <v>62</v>
      </c>
      <c r="J43" s="10" t="s">
        <v>70</v>
      </c>
      <c r="K43" s="10">
        <v>0</v>
      </c>
      <c r="L43" s="12">
        <v>45459</v>
      </c>
      <c r="M43" s="12">
        <v>45468</v>
      </c>
      <c r="N43" s="10" t="s">
        <v>78</v>
      </c>
      <c r="O43">
        <f t="shared" si="0"/>
        <v>1303.4000000000001</v>
      </c>
    </row>
    <row r="44" spans="1:15" x14ac:dyDescent="0.35">
      <c r="A44" s="14">
        <v>2025</v>
      </c>
      <c r="B44" s="10" t="s">
        <v>65</v>
      </c>
      <c r="C44" s="10" t="s">
        <v>59</v>
      </c>
      <c r="D44" s="10">
        <v>12</v>
      </c>
      <c r="E44" s="10">
        <v>36.17</v>
      </c>
      <c r="F44" s="10" t="s">
        <v>67</v>
      </c>
      <c r="G44" s="10" t="s">
        <v>68</v>
      </c>
      <c r="H44" s="10">
        <v>0</v>
      </c>
      <c r="I44" s="10" t="s">
        <v>62</v>
      </c>
      <c r="J44" s="10" t="s">
        <v>63</v>
      </c>
      <c r="K44" s="10">
        <v>0</v>
      </c>
      <c r="L44" s="12">
        <v>45130</v>
      </c>
      <c r="M44" s="12">
        <v>45133</v>
      </c>
      <c r="N44" s="10" t="s">
        <v>71</v>
      </c>
      <c r="O44">
        <f t="shared" si="0"/>
        <v>434.04</v>
      </c>
    </row>
    <row r="45" spans="1:15" x14ac:dyDescent="0.35">
      <c r="A45" s="14">
        <v>2025</v>
      </c>
      <c r="B45" s="10" t="s">
        <v>75</v>
      </c>
      <c r="C45" s="10" t="s">
        <v>91</v>
      </c>
      <c r="D45" s="10">
        <v>4</v>
      </c>
      <c r="E45" s="10">
        <v>459.31</v>
      </c>
      <c r="F45" s="10" t="s">
        <v>82</v>
      </c>
      <c r="G45" s="10" t="s">
        <v>61</v>
      </c>
      <c r="H45" s="10">
        <v>0.15</v>
      </c>
      <c r="I45" s="10" t="s">
        <v>80</v>
      </c>
      <c r="J45" s="10" t="s">
        <v>70</v>
      </c>
      <c r="K45" s="10">
        <v>1</v>
      </c>
      <c r="L45" s="12">
        <v>45066</v>
      </c>
      <c r="M45" s="12">
        <v>45073</v>
      </c>
      <c r="N45" s="10" t="s">
        <v>78</v>
      </c>
      <c r="O45">
        <f t="shared" si="0"/>
        <v>1837.24</v>
      </c>
    </row>
    <row r="46" spans="1:15" x14ac:dyDescent="0.35">
      <c r="A46" s="14">
        <v>2023</v>
      </c>
      <c r="B46" s="10" t="s">
        <v>65</v>
      </c>
      <c r="C46" s="10" t="s">
        <v>59</v>
      </c>
      <c r="D46" s="10">
        <v>2</v>
      </c>
      <c r="E46" s="10">
        <v>416.06</v>
      </c>
      <c r="F46" s="10" t="s">
        <v>82</v>
      </c>
      <c r="G46" s="10" t="s">
        <v>68</v>
      </c>
      <c r="H46" s="10">
        <v>0.05</v>
      </c>
      <c r="I46" s="10" t="s">
        <v>62</v>
      </c>
      <c r="J46" s="10" t="s">
        <v>85</v>
      </c>
      <c r="K46" s="10">
        <v>0</v>
      </c>
      <c r="L46" s="12">
        <v>45107</v>
      </c>
      <c r="M46" s="12">
        <v>45111</v>
      </c>
      <c r="N46" s="10" t="s">
        <v>71</v>
      </c>
      <c r="O46">
        <f t="shared" si="0"/>
        <v>832.12</v>
      </c>
    </row>
    <row r="47" spans="1:15" x14ac:dyDescent="0.35">
      <c r="A47" s="14">
        <v>2023</v>
      </c>
      <c r="B47" s="10" t="s">
        <v>65</v>
      </c>
      <c r="C47" s="10" t="s">
        <v>90</v>
      </c>
      <c r="D47" s="10">
        <v>16</v>
      </c>
      <c r="E47" s="10">
        <v>302.58</v>
      </c>
      <c r="F47" s="10" t="s">
        <v>82</v>
      </c>
      <c r="G47" s="10" t="s">
        <v>68</v>
      </c>
      <c r="H47" s="10">
        <v>0</v>
      </c>
      <c r="I47" s="10" t="s">
        <v>69</v>
      </c>
      <c r="J47" s="10" t="s">
        <v>63</v>
      </c>
      <c r="K47" s="10">
        <v>1</v>
      </c>
      <c r="L47" s="12">
        <v>45447</v>
      </c>
      <c r="M47" s="12">
        <v>45457</v>
      </c>
      <c r="N47" s="10" t="s">
        <v>71</v>
      </c>
      <c r="O47">
        <f t="shared" si="0"/>
        <v>4841.28</v>
      </c>
    </row>
    <row r="48" spans="1:15" x14ac:dyDescent="0.35">
      <c r="A48" s="14">
        <v>2025</v>
      </c>
      <c r="B48" s="10" t="s">
        <v>88</v>
      </c>
      <c r="C48" s="10" t="s">
        <v>76</v>
      </c>
      <c r="D48" s="10">
        <v>11</v>
      </c>
      <c r="E48" s="10">
        <v>33.130000000000003</v>
      </c>
      <c r="F48" s="10" t="s">
        <v>67</v>
      </c>
      <c r="G48" s="10" t="s">
        <v>68</v>
      </c>
      <c r="H48" s="10">
        <v>0.15</v>
      </c>
      <c r="I48" s="10" t="s">
        <v>77</v>
      </c>
      <c r="J48" s="10" t="s">
        <v>63</v>
      </c>
      <c r="K48" s="10">
        <v>0</v>
      </c>
      <c r="L48" s="12">
        <v>45691</v>
      </c>
      <c r="M48" s="12">
        <v>45693</v>
      </c>
      <c r="N48" s="10" t="s">
        <v>89</v>
      </c>
      <c r="O48">
        <f t="shared" si="0"/>
        <v>364.43</v>
      </c>
    </row>
    <row r="49" spans="1:15" x14ac:dyDescent="0.35">
      <c r="A49" s="14">
        <v>2025</v>
      </c>
      <c r="B49" s="10" t="s">
        <v>58</v>
      </c>
      <c r="C49" s="10" t="s">
        <v>90</v>
      </c>
      <c r="D49" s="10">
        <v>8</v>
      </c>
      <c r="E49" s="10">
        <v>582.52</v>
      </c>
      <c r="F49" s="10" t="s">
        <v>82</v>
      </c>
      <c r="G49" s="10" t="s">
        <v>68</v>
      </c>
      <c r="H49" s="10">
        <v>0.15</v>
      </c>
      <c r="I49" s="10" t="s">
        <v>77</v>
      </c>
      <c r="J49" s="10" t="s">
        <v>70</v>
      </c>
      <c r="K49" s="10">
        <v>0</v>
      </c>
      <c r="L49" s="12">
        <v>45300</v>
      </c>
      <c r="M49" s="12">
        <v>45304</v>
      </c>
      <c r="N49" s="10" t="s">
        <v>64</v>
      </c>
      <c r="O49">
        <f t="shared" si="0"/>
        <v>4660.16</v>
      </c>
    </row>
    <row r="50" spans="1:15" x14ac:dyDescent="0.35">
      <c r="A50" s="14">
        <v>2024</v>
      </c>
      <c r="B50" s="10" t="s">
        <v>72</v>
      </c>
      <c r="C50" s="10" t="s">
        <v>73</v>
      </c>
      <c r="D50" s="10">
        <v>5</v>
      </c>
      <c r="E50" s="10">
        <v>165.15</v>
      </c>
      <c r="F50" s="10" t="s">
        <v>67</v>
      </c>
      <c r="G50" s="10" t="s">
        <v>68</v>
      </c>
      <c r="H50" s="10">
        <v>0.1</v>
      </c>
      <c r="I50" s="10" t="s">
        <v>62</v>
      </c>
      <c r="J50" s="10" t="s">
        <v>70</v>
      </c>
      <c r="K50" s="10">
        <v>0</v>
      </c>
      <c r="L50" s="12">
        <v>45365</v>
      </c>
      <c r="M50" s="12">
        <v>45367</v>
      </c>
      <c r="N50" s="10" t="s">
        <v>74</v>
      </c>
      <c r="O50">
        <f t="shared" si="0"/>
        <v>825.75</v>
      </c>
    </row>
    <row r="54" spans="1:15" x14ac:dyDescent="0.35">
      <c r="A54" t="s">
        <v>92</v>
      </c>
      <c r="B54" s="15">
        <v>2024</v>
      </c>
      <c r="C54" s="15"/>
    </row>
    <row r="55" spans="1:15" x14ac:dyDescent="0.35">
      <c r="A55" t="s">
        <v>30</v>
      </c>
      <c r="B55">
        <f>SUMIF(A2:A50,B54,O2:O50)</f>
        <v>56788.600000000006</v>
      </c>
    </row>
    <row r="57" spans="1:15" x14ac:dyDescent="0.35">
      <c r="A57" t="s">
        <v>92</v>
      </c>
      <c r="B57">
        <v>2023</v>
      </c>
    </row>
    <row r="58" spans="1:15" x14ac:dyDescent="0.35">
      <c r="A58" t="s">
        <v>45</v>
      </c>
      <c r="B58" t="s">
        <v>58</v>
      </c>
    </row>
    <row r="59" spans="1:15" x14ac:dyDescent="0.35">
      <c r="A59" t="s">
        <v>94</v>
      </c>
      <c r="B59">
        <f>SUMIFS(O2:O50,A2:A50,B57,B2:B50,B58)</f>
        <v>21630.219999999998</v>
      </c>
    </row>
    <row r="61" spans="1:15" x14ac:dyDescent="0.35">
      <c r="A61" s="16" t="s">
        <v>95</v>
      </c>
      <c r="B61" s="16"/>
      <c r="C61" s="16"/>
      <c r="D61" s="16"/>
      <c r="E61">
        <v>2023</v>
      </c>
    </row>
    <row r="62" spans="1:15" x14ac:dyDescent="0.35">
      <c r="A62" t="s">
        <v>96</v>
      </c>
      <c r="B62">
        <f>SUMIFS($O$2:$O$50,$C$2:$C$50,TRIM(A62),$A$2:$A$50,$E$61)</f>
        <v>1838.6799999999998</v>
      </c>
    </row>
    <row r="63" spans="1:15" x14ac:dyDescent="0.35">
      <c r="A63" t="s">
        <v>91</v>
      </c>
      <c r="B63">
        <f t="shared" ref="B63:B66" si="1">SUMIFS($O$2:$O$50,$C$2:$C$50,TRIM(A63),$A$2:$A$50,$E$61)</f>
        <v>2351.6</v>
      </c>
    </row>
    <row r="64" spans="1:15" x14ac:dyDescent="0.35">
      <c r="A64" t="s">
        <v>76</v>
      </c>
      <c r="B64">
        <f t="shared" si="1"/>
        <v>0</v>
      </c>
    </row>
    <row r="65" spans="1:10" x14ac:dyDescent="0.35">
      <c r="A65" t="s">
        <v>73</v>
      </c>
      <c r="B65">
        <f t="shared" si="1"/>
        <v>12591.11</v>
      </c>
    </row>
    <row r="66" spans="1:10" x14ac:dyDescent="0.35">
      <c r="A66" t="s">
        <v>90</v>
      </c>
      <c r="B66">
        <f t="shared" si="1"/>
        <v>4841.28</v>
      </c>
    </row>
    <row r="69" spans="1:10" ht="31.2" customHeight="1" x14ac:dyDescent="0.35">
      <c r="A69" s="17" t="s">
        <v>97</v>
      </c>
      <c r="B69" s="17"/>
      <c r="C69" s="17"/>
      <c r="D69" s="17"/>
      <c r="E69" s="20" t="s">
        <v>102</v>
      </c>
      <c r="F69" s="20"/>
      <c r="G69" s="20"/>
      <c r="H69" s="28" t="s">
        <v>103</v>
      </c>
      <c r="I69" s="28"/>
      <c r="J69" s="28"/>
    </row>
    <row r="70" spans="1:10" ht="24.6" customHeight="1" x14ac:dyDescent="0.35">
      <c r="B70" s="18">
        <v>2023</v>
      </c>
      <c r="C70" s="18">
        <v>2024</v>
      </c>
      <c r="D70" s="18">
        <v>2025</v>
      </c>
      <c r="E70" s="21">
        <v>2023</v>
      </c>
      <c r="F70" s="21">
        <v>2024</v>
      </c>
      <c r="G70" s="21">
        <v>2025</v>
      </c>
      <c r="H70" s="21">
        <v>2023</v>
      </c>
      <c r="I70" s="21">
        <v>2024</v>
      </c>
      <c r="J70" s="21">
        <v>2025</v>
      </c>
    </row>
    <row r="71" spans="1:10" x14ac:dyDescent="0.35">
      <c r="A71" s="24" t="s">
        <v>59</v>
      </c>
      <c r="B71" s="31">
        <f>SUMIFS($O$2:$O$50,$C$2:$C$50,TRIM($A71),$A$2:$A$50,B$70)</f>
        <v>1838.6799999999998</v>
      </c>
      <c r="C71" s="31">
        <f t="shared" ref="C71:D75" si="2">SUMIFS($O$2:$O$50,$C$2:$C$50,TRIM($A71),$A$2:$A$50,C$70)</f>
        <v>33536.300000000003</v>
      </c>
      <c r="D71" s="31">
        <f t="shared" si="2"/>
        <v>10771.32</v>
      </c>
      <c r="E71" s="27">
        <f>COUNTIFS($C$2:$C$50,TRIM($A71),$A$2:$A$50,E$70)</f>
        <v>2</v>
      </c>
      <c r="F71" s="27">
        <f t="shared" ref="F71:G71" si="3">COUNTIFS($C$2:$C$50,TRIM($A71),$A$2:$A$50,F$70)</f>
        <v>2</v>
      </c>
      <c r="G71" s="27">
        <f t="shared" si="3"/>
        <v>4</v>
      </c>
      <c r="H71" s="29">
        <f>E71/SUM(E$71:E$75)</f>
        <v>0.2857142857142857</v>
      </c>
      <c r="I71" s="29">
        <f t="shared" ref="I71:J75" si="4">F71/SUM(F$71:F$75)</f>
        <v>0.18181818181818182</v>
      </c>
      <c r="J71" s="29">
        <f t="shared" si="4"/>
        <v>0.2</v>
      </c>
    </row>
    <row r="72" spans="1:10" x14ac:dyDescent="0.35">
      <c r="A72" s="24" t="s">
        <v>91</v>
      </c>
      <c r="B72" s="31">
        <f t="shared" ref="B72:B75" si="5">SUMIFS($O$2:$O$50,$C$2:$C$50,TRIM($A72),$A$2:$A$50,B$70)</f>
        <v>2351.6</v>
      </c>
      <c r="C72" s="31">
        <f t="shared" si="2"/>
        <v>1303.4000000000001</v>
      </c>
      <c r="D72" s="31">
        <f t="shared" si="2"/>
        <v>7831.0599999999995</v>
      </c>
      <c r="E72" s="27">
        <f t="shared" ref="D72:G75" si="6">COUNTIFS($C$2:$C$50,TRIM($A72),$A$2:$A$50,E$70)</f>
        <v>1</v>
      </c>
      <c r="F72" s="27">
        <f t="shared" si="6"/>
        <v>1</v>
      </c>
      <c r="G72" s="27">
        <f t="shared" si="6"/>
        <v>2</v>
      </c>
      <c r="H72" s="29">
        <f t="shared" ref="H72:H75" si="7">E72/SUM(E$71:E$75)</f>
        <v>0.14285714285714285</v>
      </c>
      <c r="I72" s="29">
        <f t="shared" si="4"/>
        <v>9.0909090909090912E-2</v>
      </c>
      <c r="J72" s="29">
        <f t="shared" si="4"/>
        <v>0.1</v>
      </c>
    </row>
    <row r="73" spans="1:10" x14ac:dyDescent="0.35">
      <c r="A73" s="24" t="s">
        <v>76</v>
      </c>
      <c r="B73" s="31">
        <f t="shared" si="5"/>
        <v>0</v>
      </c>
      <c r="C73" s="31">
        <f t="shared" si="2"/>
        <v>7149.380000000001</v>
      </c>
      <c r="D73" s="31">
        <f t="shared" si="2"/>
        <v>14896.43</v>
      </c>
      <c r="E73" s="27">
        <f t="shared" si="6"/>
        <v>0</v>
      </c>
      <c r="F73" s="27">
        <f t="shared" si="6"/>
        <v>2</v>
      </c>
      <c r="G73" s="27">
        <f t="shared" si="6"/>
        <v>7</v>
      </c>
      <c r="H73" s="29">
        <f t="shared" si="7"/>
        <v>0</v>
      </c>
      <c r="I73" s="29">
        <f t="shared" si="4"/>
        <v>0.18181818181818182</v>
      </c>
      <c r="J73" s="29">
        <f t="shared" si="4"/>
        <v>0.35</v>
      </c>
    </row>
    <row r="74" spans="1:10" x14ac:dyDescent="0.35">
      <c r="A74" s="24" t="s">
        <v>73</v>
      </c>
      <c r="B74" s="31">
        <f t="shared" si="5"/>
        <v>12591.11</v>
      </c>
      <c r="C74" s="31">
        <f t="shared" si="2"/>
        <v>12411.22</v>
      </c>
      <c r="D74" s="31">
        <f t="shared" si="2"/>
        <v>14386.29</v>
      </c>
      <c r="E74" s="27">
        <f t="shared" si="6"/>
        <v>3</v>
      </c>
      <c r="F74" s="27">
        <f t="shared" si="6"/>
        <v>4</v>
      </c>
      <c r="G74" s="27">
        <f t="shared" si="6"/>
        <v>4</v>
      </c>
      <c r="H74" s="29">
        <f t="shared" si="7"/>
        <v>0.42857142857142855</v>
      </c>
      <c r="I74" s="29">
        <f t="shared" si="4"/>
        <v>0.36363636363636365</v>
      </c>
      <c r="J74" s="29">
        <f t="shared" si="4"/>
        <v>0.2</v>
      </c>
    </row>
    <row r="75" spans="1:10" x14ac:dyDescent="0.35">
      <c r="A75" s="24" t="s">
        <v>90</v>
      </c>
      <c r="B75" s="31">
        <f t="shared" si="5"/>
        <v>4841.28</v>
      </c>
      <c r="C75" s="31">
        <f t="shared" si="2"/>
        <v>1622.03</v>
      </c>
      <c r="D75" s="31">
        <f t="shared" si="2"/>
        <v>8493.4700000000012</v>
      </c>
      <c r="E75" s="27">
        <f t="shared" si="6"/>
        <v>1</v>
      </c>
      <c r="F75" s="27">
        <f t="shared" si="6"/>
        <v>2</v>
      </c>
      <c r="G75" s="27">
        <f t="shared" si="6"/>
        <v>3</v>
      </c>
      <c r="H75" s="29">
        <f t="shared" si="7"/>
        <v>0.14285714285714285</v>
      </c>
      <c r="I75" s="29">
        <f t="shared" si="4"/>
        <v>0.18181818181818182</v>
      </c>
      <c r="J75" s="29">
        <f t="shared" si="4"/>
        <v>0.15</v>
      </c>
    </row>
    <row r="76" spans="1:10" x14ac:dyDescent="0.35">
      <c r="E76" s="1"/>
      <c r="F76" s="1"/>
      <c r="G76" s="1"/>
      <c r="H76" s="1"/>
      <c r="I76" s="1"/>
      <c r="J76" s="1"/>
    </row>
    <row r="77" spans="1:10" x14ac:dyDescent="0.35">
      <c r="D77" s="30" t="s">
        <v>8</v>
      </c>
      <c r="E77" s="25">
        <f>SUM(E71:E75)</f>
        <v>7</v>
      </c>
      <c r="F77" s="25">
        <f>SUM(F71:F75)</f>
        <v>11</v>
      </c>
      <c r="G77" s="25">
        <f>SUM(G71:G75)</f>
        <v>20</v>
      </c>
      <c r="H77" s="26">
        <f>SUM(H71:H75)</f>
        <v>1</v>
      </c>
      <c r="I77" s="26">
        <f t="shared" ref="I77:J77" si="8">SUM(I71:I75)</f>
        <v>1</v>
      </c>
      <c r="J77" s="26">
        <f t="shared" si="8"/>
        <v>1</v>
      </c>
    </row>
    <row r="80" spans="1:10" x14ac:dyDescent="0.35">
      <c r="A80" s="19" t="s">
        <v>98</v>
      </c>
      <c r="B80" s="19" t="s">
        <v>99</v>
      </c>
      <c r="C80" s="19" t="s">
        <v>100</v>
      </c>
      <c r="E80" s="23" t="s">
        <v>101</v>
      </c>
    </row>
    <row r="81" spans="1:10" x14ac:dyDescent="0.35">
      <c r="A81" s="22">
        <f>AVERAGEIFS($O$2:$O$50,$C$2:$C$50,TRIM($A71),$A$2:$A$50,B$70)</f>
        <v>919.33999999999992</v>
      </c>
      <c r="B81" s="22">
        <f>AVERAGEIFS($O$2:$O$50,$C$2:$C$50,TRIM($A71),$A$2:$A$50,C$70)</f>
        <v>16768.150000000001</v>
      </c>
      <c r="C81" s="22">
        <f>AVERAGEIFS($O$2:$O$50,$C$2:$C$50,TRIM($A71),$A$2:$A$50,D$70)</f>
        <v>2692.83</v>
      </c>
      <c r="E81" s="22">
        <f>IFERROR(A81,"Something went wrong")</f>
        <v>919.33999999999992</v>
      </c>
    </row>
    <row r="82" spans="1:10" x14ac:dyDescent="0.35">
      <c r="A82" s="22">
        <f>AVERAGEIFS($O$2:$O$50,$C$2:$C$50,TRIM($A72),$A$2:$A$50,B$70)</f>
        <v>2351.6</v>
      </c>
      <c r="B82" s="22">
        <f>AVERAGEIFS($O$2:$O$50,$C$2:$C$50,TRIM($A72),$A$2:$A$50,C$70)</f>
        <v>1303.4000000000001</v>
      </c>
      <c r="C82" s="22">
        <f>AVERAGEIFS($O$2:$O$50,$C$2:$C$50,TRIM($A72),$A$2:$A$50,D$70)</f>
        <v>3915.5299999999997</v>
      </c>
      <c r="E82" s="22">
        <f>IFERROR(A82,"Something went wrong")</f>
        <v>2351.6</v>
      </c>
    </row>
    <row r="83" spans="1:10" x14ac:dyDescent="0.35">
      <c r="A83" s="22" t="e">
        <f>AVERAGEIFS($O$2:$O$50,$C$2:$C$50,TRIM($A73),$A$2:$A$50,B$70)</f>
        <v>#DIV/0!</v>
      </c>
      <c r="B83" s="22">
        <f>AVERAGEIFS($O$2:$O$50,$C$2:$C$50,TRIM($A73),$A$2:$A$50,C$70)</f>
        <v>3574.6900000000005</v>
      </c>
      <c r="C83" s="22">
        <f>AVERAGEIFS($O$2:$O$50,$C$2:$C$50,TRIM($A73),$A$2:$A$50,D$70)</f>
        <v>2128.0614285714287</v>
      </c>
      <c r="E83" s="22" t="str">
        <f>IFERROR(A83,"Something went wrong")</f>
        <v>Something went wrong</v>
      </c>
    </row>
    <row r="84" spans="1:10" x14ac:dyDescent="0.35">
      <c r="A84" s="22">
        <f>AVERAGEIFS($O$2:$O$50,$C$2:$C$50,TRIM($A74),$A$2:$A$50,B$70)</f>
        <v>4197.0366666666669</v>
      </c>
      <c r="B84" s="22">
        <f>AVERAGEIFS($O$2:$O$50,$C$2:$C$50,TRIM($A74),$A$2:$A$50,C$70)</f>
        <v>3102.8049999999998</v>
      </c>
      <c r="C84" s="22">
        <f>AVERAGEIFS($O$2:$O$50,$C$2:$C$50,TRIM($A74),$A$2:$A$50,D$70)</f>
        <v>3596.5725000000002</v>
      </c>
      <c r="E84" s="22">
        <f>IFERROR(A84,"Something went wrong")</f>
        <v>4197.0366666666669</v>
      </c>
    </row>
    <row r="85" spans="1:10" x14ac:dyDescent="0.35">
      <c r="A85" s="22">
        <f>AVERAGEIFS($O$2:$O$50,$C$2:$C$50,TRIM($A75),$A$2:$A$50,B$70)</f>
        <v>4841.28</v>
      </c>
      <c r="B85" s="22">
        <f>AVERAGEIFS($O$2:$O$50,$C$2:$C$50,TRIM($A75),$A$2:$A$50,C$70)</f>
        <v>811.01499999999999</v>
      </c>
      <c r="C85" s="22">
        <f>AVERAGEIFS($O$2:$O$50,$C$2:$C$50,TRIM($A75),$A$2:$A$50,D$70)</f>
        <v>2831.1566666666672</v>
      </c>
      <c r="E85" s="22">
        <f>IFERROR(A85,"Something went wrong")</f>
        <v>4841.28</v>
      </c>
    </row>
    <row r="87" spans="1:10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</row>
    <row r="88" spans="1:10" x14ac:dyDescent="0.35">
      <c r="A88" s="1"/>
      <c r="B88" s="35" t="s">
        <v>59</v>
      </c>
      <c r="C88" s="35"/>
      <c r="D88" s="35"/>
      <c r="E88" s="36" t="s">
        <v>76</v>
      </c>
      <c r="F88" s="36"/>
      <c r="G88" s="36"/>
      <c r="H88" s="37" t="s">
        <v>91</v>
      </c>
      <c r="I88" s="37"/>
      <c r="J88" s="37"/>
    </row>
    <row r="89" spans="1:10" x14ac:dyDescent="0.35">
      <c r="A89" s="1"/>
      <c r="B89" s="38" t="s">
        <v>102</v>
      </c>
      <c r="C89" s="38" t="s">
        <v>104</v>
      </c>
      <c r="D89" s="38" t="s">
        <v>105</v>
      </c>
      <c r="E89" s="33" t="s">
        <v>102</v>
      </c>
      <c r="F89" s="33" t="s">
        <v>104</v>
      </c>
      <c r="G89" s="33" t="s">
        <v>105</v>
      </c>
      <c r="H89" s="39" t="s">
        <v>102</v>
      </c>
      <c r="I89" s="39" t="s">
        <v>104</v>
      </c>
      <c r="J89" s="39" t="s">
        <v>105</v>
      </c>
    </row>
    <row r="90" spans="1:10" x14ac:dyDescent="0.35">
      <c r="A90" s="32">
        <v>2023</v>
      </c>
      <c r="B90" s="34">
        <f>COUNTIFS($C$2:$C$50,TRIM(B$88),$A$2:$A$50,$A90)</f>
        <v>2</v>
      </c>
      <c r="C90" s="34">
        <f>SUMIFS($O$2:$O$50,$C$2:$C$50,B$88,$A$2:$A$50,$A90)</f>
        <v>1838.6799999999998</v>
      </c>
      <c r="D90" s="34">
        <f>AVERAGEIFS($O$2:$O$50,$C$2:$C$50,TRIM(B$88),$A$2:$A$50,$A90)</f>
        <v>919.33999999999992</v>
      </c>
      <c r="E90" s="34">
        <f>COUNTIFS($C$2:$C$50,TRIM(E$88),$A$2:$A$50,$A90)</f>
        <v>0</v>
      </c>
      <c r="F90" s="34">
        <f>SUMIFS($O$2:$O$50,$C$2:$C$50,E$88,$A$2:$A$50,$A90)</f>
        <v>0</v>
      </c>
      <c r="G90" s="34" t="e">
        <f>AVERAGEIFS($O$2:$O$50,$C$2:$C$50,TRIM(E$88),$A$2:$A$50,$A90)</f>
        <v>#DIV/0!</v>
      </c>
      <c r="H90" s="34">
        <f>COUNTIFS($C$2:$C$50,TRIM(H$88),$A$2:$A$50,$A90)</f>
        <v>1</v>
      </c>
      <c r="I90" s="34">
        <f>SUMIFS($O$2:$O$50,$C$2:$C$50,H$88,$A$2:$A$50,$A90)</f>
        <v>2351.6</v>
      </c>
      <c r="J90" s="34">
        <f>AVERAGEIFS($O$2:$O$50,$C$2:$C$50,TRIM(H$88),$A$2:$A$50,$A90)</f>
        <v>2351.6</v>
      </c>
    </row>
    <row r="91" spans="1:10" x14ac:dyDescent="0.35">
      <c r="A91" s="32">
        <v>2024</v>
      </c>
      <c r="B91" s="34">
        <f t="shared" ref="B91:B92" si="9">COUNTIFS($C$2:$C$50,TRIM(B$88),$A$2:$A$50,$A91)</f>
        <v>2</v>
      </c>
      <c r="C91" s="34">
        <f t="shared" ref="C91:C92" si="10">SUMIFS($O$2:$O$50,$C$2:$C$50,B$88,$A$2:$A$50,$A91)</f>
        <v>33536.300000000003</v>
      </c>
      <c r="D91" s="34">
        <f t="shared" ref="D91:D92" si="11">AVERAGEIFS($O$2:$O$50,$C$2:$C$50,TRIM(B$88),$A$2:$A$50,$A91)</f>
        <v>16768.150000000001</v>
      </c>
      <c r="E91" s="34">
        <f t="shared" ref="E91:E92" si="12">COUNTIFS($C$2:$C$50,TRIM(E$88),$A$2:$A$50,$A91)</f>
        <v>2</v>
      </c>
      <c r="F91" s="34">
        <f t="shared" ref="F91:F92" si="13">SUMIFS($O$2:$O$50,$C$2:$C$50,E$88,$A$2:$A$50,$A91)</f>
        <v>7149.380000000001</v>
      </c>
      <c r="G91" s="34">
        <f t="shared" ref="G91:G92" si="14">AVERAGEIFS($O$2:$O$50,$C$2:$C$50,TRIM(E$88),$A$2:$A$50,$A91)</f>
        <v>3574.6900000000005</v>
      </c>
      <c r="H91" s="34">
        <f t="shared" ref="H91:H92" si="15">COUNTIFS($C$2:$C$50,TRIM(H$88),$A$2:$A$50,$A91)</f>
        <v>1</v>
      </c>
      <c r="I91" s="34">
        <f t="shared" ref="I91:I92" si="16">SUMIFS($O$2:$O$50,$C$2:$C$50,H$88,$A$2:$A$50,$A91)</f>
        <v>1303.4000000000001</v>
      </c>
      <c r="J91" s="34">
        <f t="shared" ref="J91:J92" si="17">AVERAGEIFS($O$2:$O$50,$C$2:$C$50,TRIM(H$88),$A$2:$A$50,$A91)</f>
        <v>1303.4000000000001</v>
      </c>
    </row>
    <row r="92" spans="1:10" x14ac:dyDescent="0.35">
      <c r="A92" s="32">
        <v>2025</v>
      </c>
      <c r="B92" s="34">
        <f t="shared" si="9"/>
        <v>4</v>
      </c>
      <c r="C92" s="34">
        <f t="shared" si="10"/>
        <v>10771.32</v>
      </c>
      <c r="D92" s="34">
        <f t="shared" si="11"/>
        <v>2692.83</v>
      </c>
      <c r="E92" s="34">
        <f t="shared" si="12"/>
        <v>7</v>
      </c>
      <c r="F92" s="34">
        <f t="shared" si="13"/>
        <v>14896.43</v>
      </c>
      <c r="G92" s="34">
        <f t="shared" si="14"/>
        <v>2128.0614285714287</v>
      </c>
      <c r="H92" s="34">
        <f t="shared" si="15"/>
        <v>2</v>
      </c>
      <c r="I92" s="34">
        <f t="shared" si="16"/>
        <v>7831.0599999999995</v>
      </c>
      <c r="J92" s="34">
        <f t="shared" si="17"/>
        <v>3915.5299999999997</v>
      </c>
    </row>
  </sheetData>
  <mergeCells count="7">
    <mergeCell ref="A61:D61"/>
    <mergeCell ref="A69:D69"/>
    <mergeCell ref="E69:G69"/>
    <mergeCell ref="H69:J69"/>
    <mergeCell ref="B88:D88"/>
    <mergeCell ref="E88:G88"/>
    <mergeCell ref="H88:J88"/>
  </mergeCells>
  <conditionalFormatting sqref="E81:E85">
    <cfRule type="expression" dxfId="5" priority="11">
      <formula>ISERROR(A81)</formula>
    </cfRule>
  </conditionalFormatting>
  <conditionalFormatting sqref="H71:J75">
    <cfRule type="expression" dxfId="4" priority="5">
      <formula>H71=MAX(H$71:H$75)</formula>
    </cfRule>
  </conditionalFormatting>
  <conditionalFormatting sqref="E71:G75">
    <cfRule type="expression" dxfId="3" priority="4">
      <formula>E71=MAX(E$71:E$75)</formula>
    </cfRule>
  </conditionalFormatting>
  <conditionalFormatting sqref="B71:D75">
    <cfRule type="expression" dxfId="2" priority="3">
      <formula>B71=MAX(B$71:B$75)</formula>
    </cfRule>
  </conditionalFormatting>
  <conditionalFormatting sqref="A81:A85">
    <cfRule type="expression" dxfId="1" priority="2">
      <formula>A81=MAX(A$81:A$85)</formula>
    </cfRule>
  </conditionalFormatting>
  <conditionalFormatting sqref="B81:C85">
    <cfRule type="expression" dxfId="0" priority="1">
      <formula>B81=MAX(B$81:B$85)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1EC01-3558-4CAF-8FA5-3C02BC76403B}">
  <dimension ref="C1:L72"/>
  <sheetViews>
    <sheetView zoomScale="115" zoomScaleNormal="115" workbookViewId="0">
      <selection activeCell="K54" sqref="K54"/>
    </sheetView>
  </sheetViews>
  <sheetFormatPr defaultRowHeight="18" x14ac:dyDescent="0.35"/>
  <cols>
    <col min="3" max="3" width="16.08203125" bestFit="1" customWidth="1"/>
    <col min="5" max="5" width="11.6640625" bestFit="1" customWidth="1"/>
  </cols>
  <sheetData>
    <row r="1" spans="4:12" x14ac:dyDescent="0.35">
      <c r="D1" s="7" t="s">
        <v>19</v>
      </c>
      <c r="E1" s="7"/>
      <c r="F1" s="7"/>
      <c r="G1" s="7"/>
      <c r="H1" s="7"/>
      <c r="I1" s="7"/>
      <c r="J1" s="7"/>
      <c r="K1" s="7"/>
      <c r="L1" s="7"/>
    </row>
    <row r="2" spans="4:12" x14ac:dyDescent="0.35">
      <c r="D2" t="s">
        <v>23</v>
      </c>
    </row>
    <row r="4" spans="4:12" x14ac:dyDescent="0.35">
      <c r="D4" t="s">
        <v>20</v>
      </c>
      <c r="E4" t="s">
        <v>21</v>
      </c>
      <c r="F4" t="s">
        <v>22</v>
      </c>
    </row>
    <row r="5" spans="4:12" x14ac:dyDescent="0.35">
      <c r="D5">
        <v>6</v>
      </c>
      <c r="E5">
        <v>155</v>
      </c>
      <c r="F5">
        <f>D5*E5</f>
        <v>930</v>
      </c>
    </row>
    <row r="6" spans="4:12" x14ac:dyDescent="0.35">
      <c r="D6">
        <v>3</v>
      </c>
      <c r="E6">
        <v>221</v>
      </c>
      <c r="F6">
        <f t="shared" ref="F6:F14" si="0">D6*E6</f>
        <v>663</v>
      </c>
    </row>
    <row r="7" spans="4:12" x14ac:dyDescent="0.35">
      <c r="D7">
        <v>5</v>
      </c>
      <c r="E7">
        <v>221</v>
      </c>
      <c r="F7">
        <f t="shared" si="0"/>
        <v>1105</v>
      </c>
    </row>
    <row r="8" spans="4:12" x14ac:dyDescent="0.35">
      <c r="D8">
        <v>1</v>
      </c>
      <c r="E8">
        <v>220</v>
      </c>
      <c r="F8">
        <f t="shared" si="0"/>
        <v>220</v>
      </c>
    </row>
    <row r="9" spans="4:12" x14ac:dyDescent="0.35">
      <c r="D9">
        <v>6</v>
      </c>
      <c r="E9">
        <v>172</v>
      </c>
      <c r="F9">
        <f t="shared" si="0"/>
        <v>1032</v>
      </c>
    </row>
    <row r="10" spans="4:12" x14ac:dyDescent="0.35">
      <c r="D10">
        <v>1</v>
      </c>
      <c r="E10">
        <v>131</v>
      </c>
      <c r="F10">
        <f t="shared" si="0"/>
        <v>131</v>
      </c>
    </row>
    <row r="11" spans="4:12" x14ac:dyDescent="0.35">
      <c r="D11">
        <v>2</v>
      </c>
      <c r="E11">
        <v>271</v>
      </c>
      <c r="F11">
        <f t="shared" si="0"/>
        <v>542</v>
      </c>
    </row>
    <row r="12" spans="4:12" x14ac:dyDescent="0.35">
      <c r="D12">
        <v>4</v>
      </c>
      <c r="E12">
        <v>172</v>
      </c>
      <c r="F12">
        <f t="shared" si="0"/>
        <v>688</v>
      </c>
    </row>
    <row r="13" spans="4:12" x14ac:dyDescent="0.35">
      <c r="D13">
        <v>2</v>
      </c>
      <c r="E13">
        <v>104</v>
      </c>
      <c r="F13">
        <f t="shared" si="0"/>
        <v>208</v>
      </c>
    </row>
    <row r="14" spans="4:12" x14ac:dyDescent="0.35">
      <c r="D14">
        <v>10</v>
      </c>
      <c r="E14">
        <v>127</v>
      </c>
      <c r="F14">
        <f t="shared" si="0"/>
        <v>1270</v>
      </c>
    </row>
    <row r="16" spans="4:12" x14ac:dyDescent="0.35">
      <c r="I16" s="5" t="s">
        <v>25</v>
      </c>
      <c r="J16" s="5">
        <v>15</v>
      </c>
    </row>
    <row r="17" spans="3:10" x14ac:dyDescent="0.35">
      <c r="C17" t="s">
        <v>26</v>
      </c>
      <c r="D17" t="s">
        <v>24</v>
      </c>
      <c r="E17" t="s">
        <v>30</v>
      </c>
    </row>
    <row r="18" spans="3:10" x14ac:dyDescent="0.35">
      <c r="C18" t="s">
        <v>27</v>
      </c>
      <c r="D18">
        <v>50000</v>
      </c>
      <c r="E18">
        <f>D18*($J$16/100)</f>
        <v>7500</v>
      </c>
    </row>
    <row r="19" spans="3:10" x14ac:dyDescent="0.35">
      <c r="C19" t="s">
        <v>28</v>
      </c>
      <c r="D19">
        <v>70000</v>
      </c>
      <c r="E19">
        <f t="shared" ref="E19:E20" si="1">D19*($J$16/100)</f>
        <v>10500</v>
      </c>
    </row>
    <row r="20" spans="3:10" x14ac:dyDescent="0.35">
      <c r="C20" t="s">
        <v>29</v>
      </c>
      <c r="D20">
        <v>120000</v>
      </c>
      <c r="E20">
        <f t="shared" si="1"/>
        <v>18000</v>
      </c>
    </row>
    <row r="23" spans="3:10" x14ac:dyDescent="0.35">
      <c r="C23" t="s">
        <v>31</v>
      </c>
    </row>
    <row r="25" spans="3:10" x14ac:dyDescent="0.35">
      <c r="D25">
        <v>2</v>
      </c>
      <c r="E25">
        <v>3</v>
      </c>
      <c r="F25">
        <v>4</v>
      </c>
      <c r="G25">
        <v>5</v>
      </c>
      <c r="H25">
        <v>6</v>
      </c>
      <c r="I25">
        <v>7</v>
      </c>
      <c r="J25">
        <v>8</v>
      </c>
    </row>
    <row r="26" spans="3:10" x14ac:dyDescent="0.35">
      <c r="C26">
        <v>2</v>
      </c>
      <c r="D26">
        <f>$C26*D$25</f>
        <v>4</v>
      </c>
      <c r="E26">
        <f t="shared" ref="E26:J27" si="2">$C26*E$25</f>
        <v>6</v>
      </c>
      <c r="F26">
        <f t="shared" si="2"/>
        <v>8</v>
      </c>
      <c r="G26">
        <f t="shared" si="2"/>
        <v>10</v>
      </c>
      <c r="H26">
        <f t="shared" si="2"/>
        <v>12</v>
      </c>
      <c r="I26">
        <f t="shared" si="2"/>
        <v>14</v>
      </c>
      <c r="J26">
        <f t="shared" si="2"/>
        <v>16</v>
      </c>
    </row>
    <row r="27" spans="3:10" x14ac:dyDescent="0.35">
      <c r="C27">
        <v>3</v>
      </c>
      <c r="D27">
        <f>$C27*D$25</f>
        <v>6</v>
      </c>
      <c r="E27">
        <f t="shared" si="2"/>
        <v>9</v>
      </c>
      <c r="F27">
        <f t="shared" si="2"/>
        <v>12</v>
      </c>
      <c r="G27">
        <f t="shared" si="2"/>
        <v>15</v>
      </c>
      <c r="H27">
        <f t="shared" si="2"/>
        <v>18</v>
      </c>
      <c r="I27">
        <f t="shared" si="2"/>
        <v>21</v>
      </c>
      <c r="J27">
        <f t="shared" si="2"/>
        <v>24</v>
      </c>
    </row>
    <row r="37" spans="4:7" x14ac:dyDescent="0.35">
      <c r="E37" t="s">
        <v>35</v>
      </c>
    </row>
    <row r="38" spans="4:7" x14ac:dyDescent="0.35">
      <c r="F38" t="s">
        <v>36</v>
      </c>
    </row>
    <row r="39" spans="4:7" x14ac:dyDescent="0.35">
      <c r="F39" t="s">
        <v>37</v>
      </c>
      <c r="G39" t="s">
        <v>40</v>
      </c>
    </row>
    <row r="40" spans="4:7" x14ac:dyDescent="0.35">
      <c r="F40" t="s">
        <v>38</v>
      </c>
    </row>
    <row r="43" spans="4:7" x14ac:dyDescent="0.35">
      <c r="D43" t="s">
        <v>20</v>
      </c>
      <c r="E43" t="s">
        <v>21</v>
      </c>
      <c r="G43" t="s">
        <v>39</v>
      </c>
    </row>
    <row r="44" spans="4:7" x14ac:dyDescent="0.35">
      <c r="D44">
        <v>6</v>
      </c>
      <c r="E44">
        <v>155</v>
      </c>
      <c r="G44">
        <f>D44*E44</f>
        <v>930</v>
      </c>
    </row>
    <row r="45" spans="4:7" x14ac:dyDescent="0.35">
      <c r="D45">
        <v>3</v>
      </c>
      <c r="E45">
        <v>221</v>
      </c>
      <c r="G45">
        <f t="shared" ref="G45:G53" si="3">D45*E45</f>
        <v>663</v>
      </c>
    </row>
    <row r="46" spans="4:7" x14ac:dyDescent="0.35">
      <c r="D46">
        <v>5</v>
      </c>
      <c r="E46">
        <v>221</v>
      </c>
      <c r="G46">
        <f t="shared" si="3"/>
        <v>1105</v>
      </c>
    </row>
    <row r="47" spans="4:7" x14ac:dyDescent="0.35">
      <c r="D47">
        <v>1</v>
      </c>
      <c r="E47">
        <v>220</v>
      </c>
      <c r="G47">
        <f t="shared" si="3"/>
        <v>220</v>
      </c>
    </row>
    <row r="48" spans="4:7" x14ac:dyDescent="0.35">
      <c r="D48">
        <v>6</v>
      </c>
      <c r="E48">
        <v>172</v>
      </c>
      <c r="G48">
        <f t="shared" si="3"/>
        <v>1032</v>
      </c>
    </row>
    <row r="49" spans="4:11" x14ac:dyDescent="0.35">
      <c r="D49">
        <v>1</v>
      </c>
      <c r="E49">
        <v>131</v>
      </c>
      <c r="G49">
        <f t="shared" si="3"/>
        <v>131</v>
      </c>
    </row>
    <row r="50" spans="4:11" x14ac:dyDescent="0.35">
      <c r="D50">
        <v>2</v>
      </c>
      <c r="E50">
        <v>271</v>
      </c>
      <c r="G50">
        <f t="shared" si="3"/>
        <v>542</v>
      </c>
    </row>
    <row r="51" spans="4:11" x14ac:dyDescent="0.35">
      <c r="D51">
        <v>4</v>
      </c>
      <c r="E51">
        <v>172</v>
      </c>
      <c r="G51">
        <f t="shared" si="3"/>
        <v>688</v>
      </c>
    </row>
    <row r="52" spans="4:11" x14ac:dyDescent="0.35">
      <c r="D52">
        <v>2</v>
      </c>
      <c r="E52">
        <v>104</v>
      </c>
      <c r="G52">
        <f t="shared" si="3"/>
        <v>208</v>
      </c>
    </row>
    <row r="53" spans="4:11" x14ac:dyDescent="0.35">
      <c r="D53">
        <v>10</v>
      </c>
      <c r="E53">
        <v>127</v>
      </c>
      <c r="G53">
        <f t="shared" si="3"/>
        <v>1270</v>
      </c>
    </row>
    <row r="58" spans="4:11" x14ac:dyDescent="0.35">
      <c r="E58" t="s">
        <v>41</v>
      </c>
      <c r="F58" t="s">
        <v>42</v>
      </c>
      <c r="J58" t="s">
        <v>25</v>
      </c>
      <c r="K58">
        <v>10</v>
      </c>
    </row>
    <row r="59" spans="4:11" x14ac:dyDescent="0.35">
      <c r="E59">
        <v>50000</v>
      </c>
      <c r="F59">
        <f>E59*($K$58/100)</f>
        <v>5000</v>
      </c>
    </row>
    <row r="60" spans="4:11" x14ac:dyDescent="0.35">
      <c r="E60">
        <v>100000</v>
      </c>
      <c r="F60">
        <f>E60*($K$58/100)</f>
        <v>10000</v>
      </c>
    </row>
    <row r="61" spans="4:11" x14ac:dyDescent="0.35">
      <c r="E61">
        <v>150000</v>
      </c>
      <c r="F61">
        <f t="shared" ref="F61" si="4">E61*($K$58/100)</f>
        <v>15000</v>
      </c>
    </row>
    <row r="66" spans="4:8" x14ac:dyDescent="0.35">
      <c r="E66" t="s">
        <v>43</v>
      </c>
    </row>
    <row r="68" spans="4:8" x14ac:dyDescent="0.35">
      <c r="E68">
        <v>2</v>
      </c>
      <c r="F68">
        <v>3</v>
      </c>
      <c r="G68">
        <v>4</v>
      </c>
      <c r="H68">
        <v>5</v>
      </c>
    </row>
    <row r="69" spans="4:8" x14ac:dyDescent="0.35">
      <c r="D69">
        <v>2</v>
      </c>
      <c r="E69">
        <f>$D69*E$68</f>
        <v>4</v>
      </c>
      <c r="F69">
        <f t="shared" ref="F69:H72" si="5">$D69*F$68</f>
        <v>6</v>
      </c>
      <c r="G69">
        <f t="shared" si="5"/>
        <v>8</v>
      </c>
      <c r="H69">
        <f t="shared" si="5"/>
        <v>10</v>
      </c>
    </row>
    <row r="70" spans="4:8" x14ac:dyDescent="0.35">
      <c r="D70">
        <v>3</v>
      </c>
      <c r="E70">
        <f t="shared" ref="E70:E72" si="6">$D70*E$68</f>
        <v>6</v>
      </c>
      <c r="F70">
        <f t="shared" si="5"/>
        <v>9</v>
      </c>
      <c r="G70">
        <f t="shared" si="5"/>
        <v>12</v>
      </c>
      <c r="H70">
        <f t="shared" si="5"/>
        <v>15</v>
      </c>
    </row>
    <row r="71" spans="4:8" x14ac:dyDescent="0.35">
      <c r="D71">
        <v>4</v>
      </c>
      <c r="E71">
        <f t="shared" si="6"/>
        <v>8</v>
      </c>
      <c r="F71">
        <f t="shared" si="5"/>
        <v>12</v>
      </c>
      <c r="G71">
        <f t="shared" si="5"/>
        <v>16</v>
      </c>
      <c r="H71">
        <f t="shared" si="5"/>
        <v>20</v>
      </c>
    </row>
    <row r="72" spans="4:8" x14ac:dyDescent="0.35">
      <c r="D72">
        <v>5</v>
      </c>
      <c r="E72">
        <f t="shared" si="6"/>
        <v>10</v>
      </c>
      <c r="F72">
        <f t="shared" si="5"/>
        <v>15</v>
      </c>
      <c r="G72">
        <f t="shared" si="5"/>
        <v>20</v>
      </c>
      <c r="H72">
        <f t="shared" si="5"/>
        <v>25</v>
      </c>
    </row>
  </sheetData>
  <mergeCells count="1">
    <mergeCell ref="D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F756C-290F-404E-81ED-2B88E96B5E6A}">
  <dimension ref="B2:F7"/>
  <sheetViews>
    <sheetView workbookViewId="0">
      <selection activeCell="E8" sqref="E8"/>
    </sheetView>
  </sheetViews>
  <sheetFormatPr defaultRowHeight="18" x14ac:dyDescent="0.35"/>
  <cols>
    <col min="1" max="1" width="12.1640625" customWidth="1"/>
    <col min="6" max="6" width="16.1640625" bestFit="1" customWidth="1"/>
  </cols>
  <sheetData>
    <row r="2" spans="2:6" ht="37.200000000000003" customHeight="1" x14ac:dyDescent="0.35"/>
    <row r="3" spans="2:6" ht="23.4" customHeight="1" x14ac:dyDescent="0.35">
      <c r="B3" t="s">
        <v>34</v>
      </c>
    </row>
    <row r="4" spans="2:6" x14ac:dyDescent="0.35">
      <c r="F4" s="6">
        <v>46288.717997337961</v>
      </c>
    </row>
    <row r="5" spans="2:6" x14ac:dyDescent="0.35">
      <c r="B5" t="s">
        <v>32</v>
      </c>
      <c r="F5" s="6">
        <v>46289</v>
      </c>
    </row>
    <row r="7" spans="2:6" x14ac:dyDescent="0.35">
      <c r="B7" t="s">
        <v>33</v>
      </c>
    </row>
  </sheetData>
  <dataValidations count="1">
    <dataValidation type="list" allowBlank="1" showInputMessage="1" showErrorMessage="1" sqref="B2:B12" xr:uid="{A8223CBD-25D4-4F7C-8804-8566BB798AD8}">
      <formula1>"Java, Python, HTML, CSS, JS"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 1</vt:lpstr>
      <vt:lpstr>Task 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kumar</dc:creator>
  <cp:lastModifiedBy>Raj kumar</cp:lastModifiedBy>
  <dcterms:created xsi:type="dcterms:W3CDTF">2026-09-22T10:18:22Z</dcterms:created>
  <dcterms:modified xsi:type="dcterms:W3CDTF">2026-09-25T04:14:33Z</dcterms:modified>
</cp:coreProperties>
</file>